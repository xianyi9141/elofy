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EstaPasta_de_trabalho"/>
  <mc:AlternateContent xmlns:mc="http://schemas.openxmlformats.org/markup-compatibility/2006">
    <mc:Choice Requires="x15">
      <x15ac:absPath xmlns:x15ac="http://schemas.microsoft.com/office/spreadsheetml/2010/11/ac" url="C:\elofy\elofy\DOCTOS\"/>
    </mc:Choice>
  </mc:AlternateContent>
  <xr:revisionPtr revIDLastSave="0" documentId="8_{D1227BD6-4AD7-418F-9E8C-E051FE416F1D}" xr6:coauthVersionLast="40" xr6:coauthVersionMax="40" xr10:uidLastSave="{00000000-0000-0000-0000-000000000000}"/>
  <bookViews>
    <workbookView xWindow="0" yWindow="0" windowWidth="24000" windowHeight="9465" activeTab="1" xr2:uid="{00000000-000D-0000-FFFF-FFFF00000000}"/>
  </bookViews>
  <sheets>
    <sheet name="Menu Principal" sheetId="6" r:id="rId1"/>
    <sheet name="Cadastro Fornecedor" sheetId="1" r:id="rId2"/>
    <sheet name="Cadastro Fornecedor Parte 2" sheetId="4" state="hidden" r:id="rId3"/>
    <sheet name="Fornecedor PF" sheetId="5" state="hidden" r:id="rId4"/>
    <sheet name="Lista de Dados" sheetId="2" state="hidden" r:id="rId5"/>
    <sheet name="ListaBancoDígito" sheetId="3" state="hidden" r:id="rId6"/>
  </sheets>
  <externalReferences>
    <externalReference r:id="rId7"/>
    <externalReference r:id="rId8"/>
  </externalReferences>
  <definedNames>
    <definedName name="bancodig">[1]ListaBancoDígito!$A$2:$C$131</definedName>
    <definedName name="dados0">#REF!</definedName>
    <definedName name="dados01">'Cadastro Fornecedor'!#REF!</definedName>
    <definedName name="dados02">'Cadastro Fornecedor Parte 2'!$C$4</definedName>
    <definedName name="dados03">'Fornecedor PF'!#REF!</definedName>
    <definedName name="dados1">'Cadastro Fornecedor Parte 2'!$C$4</definedName>
    <definedName name="dados2">'Fornecedor PF'!#REF!</definedName>
    <definedName name="dados3">'Cadastro Fornecedor'!#REF!</definedName>
    <definedName name="dados33">'Fornecedor PF'!$B$2</definedName>
    <definedName name="flor1">'Cadastro Fornecedor'!#REF!</definedName>
    <definedName name="flor10">'Cadastro Fornecedor'!#REF!</definedName>
    <definedName name="flor11">'Cadastro Fornecedor'!#REF!</definedName>
    <definedName name="flor12">'Cadastro Fornecedor'!#REF!</definedName>
    <definedName name="flor13">'Cadastro Fornecedor'!#REF!</definedName>
    <definedName name="flor14">'Cadastro Fornecedor'!#REF!</definedName>
    <definedName name="flor15">'Cadastro Fornecedor'!#REF!</definedName>
    <definedName name="flor16">'Cadastro Fornecedor'!$B$170</definedName>
    <definedName name="flor17">'Cadastro Fornecedor Parte 2'!$B$2</definedName>
    <definedName name="flor18">'Fornecedor PF'!$B$2</definedName>
    <definedName name="flor2">'Cadastro Fornecedor'!#REF!</definedName>
    <definedName name="flor3">'Cadastro Fornecedor'!#REF!</definedName>
    <definedName name="flor4">'Cadastro Fornecedor'!$B$107</definedName>
    <definedName name="flor5">'Cadastro Fornecedor'!$B$111</definedName>
    <definedName name="flor6">'Cadastro Fornecedor'!$B$117</definedName>
    <definedName name="flor7">'Cadastro Fornecedor'!$B$125</definedName>
    <definedName name="flor8">'Cadastro Fornecedor'!#REF!</definedName>
    <definedName name="flor9">'Cadastro Fornecedor'!#REF!</definedName>
    <definedName name="xuxu">[2]ListaBancodigito!$A$2:$C$131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04" i="1" l="1"/>
  <c r="C103" i="1"/>
  <c r="C97" i="1"/>
  <c r="C102" i="1" s="1"/>
  <c r="C93" i="1"/>
  <c r="C92" i="1"/>
  <c r="C86" i="1"/>
  <c r="C9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 Guilherme Correa Alvarenga</author>
    <author>Patrick Nusbaum</author>
    <author>Fernanda do Nascimento Chaves</author>
    <author>Shirley Midori</author>
  </authors>
  <commentList>
    <comment ref="B5" authorId="0" shapeId="0" xr:uid="{00000000-0006-0000-0100-000001000000}">
      <text>
        <r>
          <rPr>
            <b/>
            <sz val="9"/>
            <color indexed="81"/>
            <rFont val="Segoe UI"/>
            <family val="2"/>
          </rPr>
          <t>Razão social é o nome devidamente registrado sob o qual uma empresa (pessoa jurídica) se identifica e exerce suas atividades. 
Para Pessoa Física, preencher o nome completo.</t>
        </r>
      </text>
    </comment>
    <comment ref="B7" authorId="0" shapeId="0" xr:uid="{00000000-0006-0000-0100-000002000000}">
      <text>
        <r>
          <rPr>
            <b/>
            <sz val="9"/>
            <color indexed="81"/>
            <rFont val="Segoe UI"/>
            <family val="2"/>
          </rPr>
          <t>O termo de pesquisa pode ser o Nome fantasia pelo qual uma Pessoa Jurídica é reconhecida junto ao público.</t>
        </r>
        <r>
          <rPr>
            <sz val="9"/>
            <color indexed="81"/>
            <rFont val="Segoe UI"/>
            <family val="2"/>
          </rPr>
          <t xml:space="preserve">
</t>
        </r>
      </text>
    </comment>
    <comment ref="B8" authorId="0" shapeId="0" xr:uid="{00000000-0006-0000-0100-000003000000}">
      <text>
        <r>
          <rPr>
            <b/>
            <sz val="9"/>
            <color indexed="81"/>
            <rFont val="Segoe UI"/>
            <family val="2"/>
          </rPr>
          <t>O termo de pesquisa pode ser o Nome fantasia pelo qual uma Pessoa Jurídica é reconhecida junto ao público.</t>
        </r>
        <r>
          <rPr>
            <sz val="9"/>
            <color indexed="81"/>
            <rFont val="Segoe UI"/>
            <family val="2"/>
          </rPr>
          <t xml:space="preserve">
</t>
        </r>
      </text>
    </comment>
    <comment ref="B11" authorId="0" shapeId="0" xr:uid="{00000000-0006-0000-0100-000004000000}">
      <text>
        <r>
          <rPr>
            <b/>
            <sz val="9"/>
            <color indexed="81"/>
            <rFont val="Segoe UI"/>
            <family val="2"/>
          </rPr>
          <t xml:space="preserve">Padrão:
Letras maiúsculas
Sem acentuação
Sem caracteres especiais
</t>
        </r>
        <r>
          <rPr>
            <sz val="9"/>
            <color indexed="81"/>
            <rFont val="Segoe UI"/>
            <family val="2"/>
          </rPr>
          <t>Os tipos de logradouro devem ser abreviados, sem ponto, conforme segue:
Rua = R                    Avenida = AV           Alameda = AL
Estrada = ESTR         Praça = PÇA             Rodovia = ROD
Travessa = TRAV       Quadra = QD           Esquina = ESQ
Para os nomes de logradouro, utilizar as seguintes abreviações, sem ponto,  quando necessário:
Capitão = CAP      Comandante = CMD     Coronel = CEL
General = GEN      Major = MAJ                 Tenente = TEN</t>
        </r>
      </text>
    </comment>
    <comment ref="B12" authorId="0" shapeId="0" xr:uid="{00000000-0006-0000-0100-000005000000}">
      <text>
        <r>
          <rPr>
            <b/>
            <sz val="9"/>
            <color indexed="81"/>
            <rFont val="Segoe UI"/>
            <family val="2"/>
          </rPr>
          <t>Apenas o número do endereço</t>
        </r>
        <r>
          <rPr>
            <sz val="9"/>
            <color indexed="81"/>
            <rFont val="Segoe UI"/>
            <family val="2"/>
          </rPr>
          <t xml:space="preserve">
</t>
        </r>
      </text>
    </comment>
    <comment ref="B13" authorId="0" shapeId="0" xr:uid="{00000000-0006-0000-0100-000006000000}">
      <text>
        <r>
          <rPr>
            <b/>
            <sz val="9"/>
            <color indexed="81"/>
            <rFont val="Segoe UI"/>
            <family val="2"/>
          </rPr>
          <t xml:space="preserve">
Padrão:
Letras maiúsculas
Sem acentuação
Sem caracteres especiais
</t>
        </r>
        <r>
          <rPr>
            <sz val="9"/>
            <color indexed="81"/>
            <rFont val="Segoe UI"/>
            <family val="2"/>
          </rPr>
          <t>Devem ser usados as seguintes abreviaturas, conforme necessário:
Bloco:  BL                     Quadra: QD         Conjunto: CONJ
Condomínio: COND      Lote: LT               Loja: LJ</t>
        </r>
      </text>
    </comment>
    <comment ref="B17" authorId="0" shapeId="0" xr:uid="{00000000-0006-0000-0100-000007000000}">
      <text>
        <r>
          <rPr>
            <b/>
            <sz val="9"/>
            <color indexed="81"/>
            <rFont val="Segoe UI"/>
            <family val="2"/>
          </rPr>
          <t xml:space="preserve">
Padrão:
Letras maiúsculas
Sem acentuação
Sem caracteres especiais</t>
        </r>
        <r>
          <rPr>
            <sz val="9"/>
            <color indexed="81"/>
            <rFont val="Segoe UI"/>
            <family val="2"/>
          </rPr>
          <t xml:space="preserve">
</t>
        </r>
      </text>
    </comment>
    <comment ref="B18" authorId="0" shapeId="0" xr:uid="{00000000-0006-0000-0100-000008000000}">
      <text>
        <r>
          <rPr>
            <b/>
            <sz val="9"/>
            <color indexed="81"/>
            <rFont val="Segoe UI"/>
            <family val="2"/>
          </rPr>
          <t xml:space="preserve">
Padrão:
Letras maiúsculas
Sem acentuação
Sem caracteres especiais</t>
        </r>
        <r>
          <rPr>
            <sz val="9"/>
            <color indexed="81"/>
            <rFont val="Segoe UI"/>
            <family val="2"/>
          </rPr>
          <t xml:space="preserve">
</t>
        </r>
      </text>
    </comment>
    <comment ref="B20" authorId="0" shapeId="0" xr:uid="{00000000-0006-0000-0100-000009000000}">
      <text>
        <r>
          <rPr>
            <b/>
            <sz val="9"/>
            <color indexed="81"/>
            <rFont val="Segoe UI"/>
            <family val="2"/>
          </rPr>
          <t xml:space="preserve">Formato:
99999-999
</t>
        </r>
        <r>
          <rPr>
            <sz val="9"/>
            <color indexed="81"/>
            <rFont val="Segoe UI"/>
            <family val="2"/>
          </rPr>
          <t xml:space="preserve">
</t>
        </r>
      </text>
    </comment>
    <comment ref="B26" authorId="0" shapeId="0" xr:uid="{00000000-0006-0000-0100-00000A000000}">
      <text>
        <r>
          <rPr>
            <b/>
            <sz val="9"/>
            <color indexed="81"/>
            <rFont val="Segoe UI"/>
            <family val="2"/>
          </rPr>
          <t xml:space="preserve">Padrão:
Letras maiúsculas
Sem acentuação
Sem caracteres especiais
</t>
        </r>
        <r>
          <rPr>
            <sz val="9"/>
            <color indexed="81"/>
            <rFont val="Segoe UI"/>
            <family val="2"/>
          </rPr>
          <t>Os tipos de logradouro devem ser abreviados, sem ponto, conforme segue:
Rua = R                    Avenida = AV           Alameda = AL
Estrada = ESTR         Praça = PÇA             Rodovia = ROD
Travessa = TRAV       Quadra = QD           Esquina = ESQ
Para os nomes de logradouro, utilizar as seguintes abreviações, sem ponto,  quando necessário:
Capitão = CAP      Comandante = CMD     Coronel = CEL
General = GEN      Major = MAJ                 Tenente = TEN</t>
        </r>
      </text>
    </comment>
    <comment ref="B27" authorId="0" shapeId="0" xr:uid="{00000000-0006-0000-0100-00000B000000}">
      <text>
        <r>
          <rPr>
            <b/>
            <sz val="9"/>
            <color indexed="81"/>
            <rFont val="Segoe UI"/>
            <family val="2"/>
          </rPr>
          <t>Apenas o número do endereço</t>
        </r>
        <r>
          <rPr>
            <sz val="9"/>
            <color indexed="81"/>
            <rFont val="Segoe UI"/>
            <family val="2"/>
          </rPr>
          <t xml:space="preserve">
</t>
        </r>
      </text>
    </comment>
    <comment ref="B28" authorId="0" shapeId="0" xr:uid="{00000000-0006-0000-0100-00000C000000}">
      <text>
        <r>
          <rPr>
            <b/>
            <sz val="9"/>
            <color indexed="81"/>
            <rFont val="Segoe UI"/>
            <family val="2"/>
          </rPr>
          <t xml:space="preserve">
Padrão:
Letras maiúsculas
Sem acentuação
Sem caracteres especiais
</t>
        </r>
        <r>
          <rPr>
            <sz val="9"/>
            <color indexed="81"/>
            <rFont val="Segoe UI"/>
            <family val="2"/>
          </rPr>
          <t>Devem ser usados as seguintes abreviaturas, conforme necessário:
Bloco:  BL                     Quadra: QD         Conjunto: CONJ
Condomínio: COND      Lote: LT               Loja: LJ</t>
        </r>
      </text>
    </comment>
    <comment ref="B32" authorId="0" shapeId="0" xr:uid="{00000000-0006-0000-0100-00000D000000}">
      <text>
        <r>
          <rPr>
            <b/>
            <sz val="9"/>
            <color indexed="81"/>
            <rFont val="Segoe UI"/>
            <family val="2"/>
          </rPr>
          <t xml:space="preserve">
Padrão:
Letras maiúsculas
Sem acentuação
Sem caracteres especiais</t>
        </r>
        <r>
          <rPr>
            <sz val="9"/>
            <color indexed="81"/>
            <rFont val="Segoe UI"/>
            <family val="2"/>
          </rPr>
          <t xml:space="preserve">
</t>
        </r>
      </text>
    </comment>
    <comment ref="B33" authorId="0" shapeId="0" xr:uid="{00000000-0006-0000-0100-00000E000000}">
      <text>
        <r>
          <rPr>
            <b/>
            <sz val="9"/>
            <color indexed="81"/>
            <rFont val="Segoe UI"/>
            <family val="2"/>
          </rPr>
          <t xml:space="preserve">
Padrão:
Letras maiúsculas
Sem acentuação
Sem caracteres especiais</t>
        </r>
        <r>
          <rPr>
            <sz val="9"/>
            <color indexed="81"/>
            <rFont val="Segoe UI"/>
            <family val="2"/>
          </rPr>
          <t xml:space="preserve">
</t>
        </r>
      </text>
    </comment>
    <comment ref="B34" authorId="0" shapeId="0" xr:uid="{00000000-0006-0000-0100-00000F000000}">
      <text>
        <r>
          <rPr>
            <b/>
            <sz val="9"/>
            <color indexed="81"/>
            <rFont val="Segoe UI"/>
            <family val="2"/>
          </rPr>
          <t>Formato:
XX</t>
        </r>
      </text>
    </comment>
    <comment ref="B35" authorId="0" shapeId="0" xr:uid="{00000000-0006-0000-0100-000010000000}">
      <text>
        <r>
          <rPr>
            <b/>
            <sz val="9"/>
            <color indexed="81"/>
            <rFont val="Segoe UI"/>
            <family val="2"/>
          </rPr>
          <t xml:space="preserve">Formato:
99999-999
</t>
        </r>
        <r>
          <rPr>
            <sz val="9"/>
            <color indexed="81"/>
            <rFont val="Segoe UI"/>
            <family val="2"/>
          </rPr>
          <t xml:space="preserve">
</t>
        </r>
      </text>
    </comment>
    <comment ref="B43" authorId="0" shapeId="0" xr:uid="{00000000-0006-0000-0100-000011000000}">
      <text>
        <r>
          <rPr>
            <b/>
            <sz val="9"/>
            <color indexed="81"/>
            <rFont val="Segoe UI"/>
            <family val="2"/>
          </rPr>
          <t xml:space="preserve">(999) 99999-9999 </t>
        </r>
      </text>
    </comment>
    <comment ref="B46" authorId="0" shapeId="0" xr:uid="{00000000-0006-0000-0100-000012000000}">
      <text>
        <r>
          <rPr>
            <b/>
            <sz val="9"/>
            <color indexed="81"/>
            <rFont val="Segoe UI"/>
            <family val="2"/>
          </rPr>
          <t xml:space="preserve">(999) 99999-9999 </t>
        </r>
      </text>
    </comment>
    <comment ref="B48" authorId="0" shapeId="0" xr:uid="{00000000-0006-0000-0100-000013000000}">
      <text>
        <r>
          <rPr>
            <b/>
            <sz val="9"/>
            <color indexed="81"/>
            <rFont val="Segoe UI"/>
            <family val="2"/>
          </rPr>
          <t xml:space="preserve">(999) 99999-9999 </t>
        </r>
      </text>
    </comment>
    <comment ref="B54" authorId="0" shapeId="0" xr:uid="{00000000-0006-0000-0100-000014000000}">
      <text>
        <r>
          <rPr>
            <b/>
            <sz val="9"/>
            <color indexed="81"/>
            <rFont val="Segoe UI"/>
            <family val="2"/>
          </rPr>
          <t xml:space="preserve">(999) 99999-9999 </t>
        </r>
      </text>
    </comment>
    <comment ref="B57" authorId="0" shapeId="0" xr:uid="{00000000-0006-0000-0100-000015000000}">
      <text>
        <r>
          <rPr>
            <b/>
            <sz val="9"/>
            <color indexed="81"/>
            <rFont val="Segoe UI"/>
            <family val="2"/>
          </rPr>
          <t xml:space="preserve">(999) 99999-9999 </t>
        </r>
      </text>
    </comment>
    <comment ref="B59" authorId="0" shapeId="0" xr:uid="{00000000-0006-0000-0100-000016000000}">
      <text>
        <r>
          <rPr>
            <b/>
            <sz val="9"/>
            <color indexed="81"/>
            <rFont val="Segoe UI"/>
            <family val="2"/>
          </rPr>
          <t xml:space="preserve">(999) 99999-9999 </t>
        </r>
      </text>
    </comment>
    <comment ref="B70" authorId="0" shapeId="0" xr:uid="{00000000-0006-0000-0100-000017000000}">
      <text>
        <r>
          <rPr>
            <b/>
            <u/>
            <sz val="9"/>
            <color indexed="81"/>
            <rFont val="Segoe UI"/>
            <family val="2"/>
          </rPr>
          <t>Para pessoa jurídica</t>
        </r>
        <r>
          <rPr>
            <sz val="9"/>
            <color indexed="81"/>
            <rFont val="Segoe UI"/>
            <family val="2"/>
          </rPr>
          <t xml:space="preserve">
</t>
        </r>
        <r>
          <rPr>
            <b/>
            <sz val="9"/>
            <color indexed="81"/>
            <rFont val="Segoe UI"/>
            <family val="2"/>
          </rPr>
          <t xml:space="preserve">CNPJ </t>
        </r>
        <r>
          <rPr>
            <sz val="9"/>
            <color indexed="81"/>
            <rFont val="Segoe UI"/>
            <family val="2"/>
          </rPr>
          <t xml:space="preserve">(preenchimento obrigatório), </t>
        </r>
        <r>
          <rPr>
            <b/>
            <sz val="9"/>
            <color indexed="81"/>
            <rFont val="Segoe UI"/>
            <family val="2"/>
          </rPr>
          <t>Inscrição Estadual</t>
        </r>
        <r>
          <rPr>
            <sz val="9"/>
            <color indexed="81"/>
            <rFont val="Segoe UI"/>
            <family val="2"/>
          </rPr>
          <t xml:space="preserve"> e </t>
        </r>
        <r>
          <rPr>
            <b/>
            <sz val="9"/>
            <color indexed="81"/>
            <rFont val="Segoe UI"/>
            <family val="2"/>
          </rPr>
          <t xml:space="preserve">Inscrição Municipal
</t>
        </r>
        <r>
          <rPr>
            <b/>
            <u/>
            <sz val="9"/>
            <color indexed="81"/>
            <rFont val="Segoe UI"/>
            <family val="2"/>
          </rPr>
          <t>Para Pessoa Física</t>
        </r>
        <r>
          <rPr>
            <sz val="9"/>
            <color indexed="81"/>
            <rFont val="Segoe UI"/>
            <family val="2"/>
          </rPr>
          <t xml:space="preserve">
</t>
        </r>
        <r>
          <rPr>
            <b/>
            <sz val="9"/>
            <color indexed="81"/>
            <rFont val="Segoe UI"/>
            <family val="2"/>
          </rPr>
          <t xml:space="preserve">CPF </t>
        </r>
        <r>
          <rPr>
            <sz val="9"/>
            <color indexed="81"/>
            <rFont val="Segoe UI"/>
            <family val="2"/>
          </rPr>
          <t xml:space="preserve">(preenchimento obrigatório)
</t>
        </r>
      </text>
    </comment>
    <comment ref="B72" authorId="0" shapeId="0" xr:uid="{00000000-0006-0000-0100-000018000000}">
      <text>
        <r>
          <rPr>
            <b/>
            <u/>
            <sz val="9"/>
            <color indexed="81"/>
            <rFont val="Segoe UI"/>
            <family val="2"/>
          </rPr>
          <t>Para pessoa jurídica</t>
        </r>
        <r>
          <rPr>
            <sz val="9"/>
            <color indexed="81"/>
            <rFont val="Segoe UI"/>
            <family val="2"/>
          </rPr>
          <t xml:space="preserve">
</t>
        </r>
        <r>
          <rPr>
            <b/>
            <sz val="9"/>
            <color indexed="81"/>
            <rFont val="Segoe UI"/>
            <family val="2"/>
          </rPr>
          <t xml:space="preserve">CNPJ </t>
        </r>
        <r>
          <rPr>
            <sz val="9"/>
            <color indexed="81"/>
            <rFont val="Segoe UI"/>
            <family val="2"/>
          </rPr>
          <t xml:space="preserve">(preenchimento obrigatório), </t>
        </r>
        <r>
          <rPr>
            <b/>
            <sz val="9"/>
            <color indexed="81"/>
            <rFont val="Segoe UI"/>
            <family val="2"/>
          </rPr>
          <t>Inscrição Estadual</t>
        </r>
        <r>
          <rPr>
            <sz val="9"/>
            <color indexed="81"/>
            <rFont val="Segoe UI"/>
            <family val="2"/>
          </rPr>
          <t xml:space="preserve"> e </t>
        </r>
        <r>
          <rPr>
            <b/>
            <sz val="9"/>
            <color indexed="81"/>
            <rFont val="Segoe UI"/>
            <family val="2"/>
          </rPr>
          <t xml:space="preserve">Inscrição Municipal
</t>
        </r>
        <r>
          <rPr>
            <b/>
            <u/>
            <sz val="9"/>
            <color indexed="81"/>
            <rFont val="Segoe UI"/>
            <family val="2"/>
          </rPr>
          <t>Para Pessoa Física</t>
        </r>
        <r>
          <rPr>
            <sz val="9"/>
            <color indexed="81"/>
            <rFont val="Segoe UI"/>
            <family val="2"/>
          </rPr>
          <t xml:space="preserve">
</t>
        </r>
        <r>
          <rPr>
            <b/>
            <sz val="9"/>
            <color indexed="81"/>
            <rFont val="Segoe UI"/>
            <family val="2"/>
          </rPr>
          <t xml:space="preserve">CPF </t>
        </r>
        <r>
          <rPr>
            <sz val="9"/>
            <color indexed="81"/>
            <rFont val="Segoe UI"/>
            <family val="2"/>
          </rPr>
          <t xml:space="preserve">(preenchimento obrigatório)
</t>
        </r>
      </text>
    </comment>
    <comment ref="B85" authorId="1" shapeId="0" xr:uid="{00000000-0006-0000-0100-000019000000}">
      <text>
        <r>
          <rPr>
            <sz val="9"/>
            <color indexed="81"/>
            <rFont val="Segoe UI"/>
            <family val="2"/>
          </rPr>
          <t xml:space="preserve">Formato </t>
        </r>
        <r>
          <rPr>
            <b/>
            <sz val="9"/>
            <color indexed="81"/>
            <rFont val="Segoe UI"/>
            <family val="2"/>
          </rPr>
          <t>999</t>
        </r>
        <r>
          <rPr>
            <sz val="9"/>
            <color indexed="81"/>
            <rFont val="Segoe UI"/>
            <family val="2"/>
          </rPr>
          <t xml:space="preserve">
              3 d[igitos</t>
        </r>
      </text>
    </comment>
    <comment ref="B87" authorId="1" shapeId="0" xr:uid="{00000000-0006-0000-0100-00001A000000}">
      <text>
        <r>
          <rPr>
            <sz val="9"/>
            <color indexed="81"/>
            <rFont val="Segoe UI"/>
            <family val="2"/>
          </rPr>
          <t xml:space="preserve">Formato </t>
        </r>
        <r>
          <rPr>
            <b/>
            <sz val="9"/>
            <color indexed="81"/>
            <rFont val="Segoe UI"/>
            <family val="2"/>
          </rPr>
          <t xml:space="preserve">9999
              </t>
        </r>
        <r>
          <rPr>
            <sz val="9"/>
            <color indexed="81"/>
            <rFont val="Segoe UI"/>
            <family val="2"/>
          </rPr>
          <t>4 dígitos</t>
        </r>
      </text>
    </comment>
    <comment ref="B89" authorId="1" shapeId="0" xr:uid="{00000000-0006-0000-0100-00001B000000}">
      <text>
        <r>
          <rPr>
            <sz val="9"/>
            <color indexed="81"/>
            <rFont val="Segoe UI"/>
            <family val="2"/>
          </rPr>
          <t xml:space="preserve">Formato
</t>
        </r>
        <r>
          <rPr>
            <b/>
            <sz val="9"/>
            <color indexed="81"/>
            <rFont val="Segoe UI"/>
            <family val="2"/>
          </rPr>
          <t>Número da conta corrente sem dígito</t>
        </r>
      </text>
    </comment>
    <comment ref="B96" authorId="1" shapeId="0" xr:uid="{00000000-0006-0000-0100-00001C000000}">
      <text>
        <r>
          <rPr>
            <sz val="9"/>
            <color indexed="81"/>
            <rFont val="Segoe UI"/>
            <family val="2"/>
          </rPr>
          <t xml:space="preserve">Formato </t>
        </r>
        <r>
          <rPr>
            <b/>
            <sz val="9"/>
            <color indexed="81"/>
            <rFont val="Segoe UI"/>
            <family val="2"/>
          </rPr>
          <t>999</t>
        </r>
        <r>
          <rPr>
            <sz val="9"/>
            <color indexed="81"/>
            <rFont val="Segoe UI"/>
            <family val="2"/>
          </rPr>
          <t xml:space="preserve">
              3 d[igitos</t>
        </r>
      </text>
    </comment>
    <comment ref="B98" authorId="1" shapeId="0" xr:uid="{00000000-0006-0000-0100-00001D000000}">
      <text>
        <r>
          <rPr>
            <sz val="9"/>
            <color indexed="81"/>
            <rFont val="Segoe UI"/>
            <family val="2"/>
          </rPr>
          <t xml:space="preserve">Formato </t>
        </r>
        <r>
          <rPr>
            <b/>
            <sz val="9"/>
            <color indexed="81"/>
            <rFont val="Segoe UI"/>
            <family val="2"/>
          </rPr>
          <t xml:space="preserve">9999
              </t>
        </r>
        <r>
          <rPr>
            <sz val="9"/>
            <color indexed="81"/>
            <rFont val="Segoe UI"/>
            <family val="2"/>
          </rPr>
          <t>4 dígitos</t>
        </r>
      </text>
    </comment>
    <comment ref="B100" authorId="1" shapeId="0" xr:uid="{00000000-0006-0000-0100-00001E000000}">
      <text>
        <r>
          <rPr>
            <sz val="9"/>
            <color indexed="81"/>
            <rFont val="Segoe UI"/>
            <family val="2"/>
          </rPr>
          <t xml:space="preserve">Formato
</t>
        </r>
        <r>
          <rPr>
            <b/>
            <sz val="9"/>
            <color indexed="81"/>
            <rFont val="Segoe UI"/>
            <family val="2"/>
          </rPr>
          <t>Número da conta corrente sem dígito</t>
        </r>
      </text>
    </comment>
    <comment ref="B108" authorId="2" shapeId="0" xr:uid="{00000000-0006-0000-0100-00001F000000}">
      <text>
        <r>
          <rPr>
            <sz val="9"/>
            <color indexed="81"/>
            <rFont val="Segoe UI"/>
            <family val="2"/>
          </rPr>
          <t>Código único criado pelo sistema da SAP para identificar o Fornecedor</t>
        </r>
      </text>
    </comment>
    <comment ref="B109" authorId="2" shapeId="0" xr:uid="{00000000-0006-0000-0100-000020000000}">
      <text>
        <r>
          <rPr>
            <sz val="9"/>
            <color indexed="81"/>
            <rFont val="Segoe UI"/>
            <family val="2"/>
          </rPr>
          <t>Determina o tamanho da firma com base no número de empregados e no faturamento anual.
Possíveis tamanhos de empresa são:
Empresa de grande porte
Empresa de médio porte
Empresa de pequeno porte
Microempresa
Microempresário</t>
        </r>
      </text>
    </comment>
    <comment ref="B112" authorId="3" shapeId="0" xr:uid="{00000000-0006-0000-0100-000021000000}">
      <text>
        <r>
          <rPr>
            <sz val="9"/>
            <color indexed="81"/>
            <rFont val="Segoe UI"/>
            <family val="2"/>
          </rPr>
          <t xml:space="preserve">CNAE ou, por extenso, Classificação Nacional de Atividades Econômicas, é uma forma de padronizar, em todo o território nacional, os códigos de atividades econômicas e os critérios de enquadramento usados pelos mais diversos órgãos da administração tributária do Brasil.
</t>
        </r>
      </text>
    </comment>
    <comment ref="B114" authorId="3" shapeId="0" xr:uid="{00000000-0006-0000-0100-000022000000}">
      <text>
        <r>
          <rPr>
            <sz val="9"/>
            <color indexed="81"/>
            <rFont val="Segoe UI"/>
            <family val="2"/>
          </rPr>
          <t xml:space="preserve">Indica o código de tributação.
Dependendo da empresa e de sua situação tributária, o código de tributação (Código de Regime Tributário) pode ser classificado como Simples Nacional, Simples Nacional – excesso de sublimite da receita bruta e Regime de imposto seletivo normal (não simples).
</t>
        </r>
      </text>
    </comment>
    <comment ref="B115" authorId="3" shapeId="0" xr:uid="{00000000-0006-0000-0100-000023000000}">
      <text>
        <r>
          <rPr>
            <sz val="9"/>
            <color indexed="81"/>
            <rFont val="Segoe UI"/>
            <family val="2"/>
          </rPr>
          <t xml:space="preserve">
Tipo de Fornecedor
</t>
        </r>
      </text>
    </comment>
    <comment ref="B118" authorId="2" shapeId="0" xr:uid="{00000000-0006-0000-0100-000024000000}">
      <text>
        <r>
          <rPr>
            <sz val="9"/>
            <color indexed="81"/>
            <rFont val="Segoe UI"/>
            <family val="2"/>
          </rPr>
          <t>Código que identifica a empresa.</t>
        </r>
      </text>
    </comment>
    <comment ref="B119" authorId="2" shapeId="0" xr:uid="{00000000-0006-0000-0100-000025000000}">
      <text>
        <r>
          <rPr>
            <sz val="9"/>
            <color indexed="81"/>
            <rFont val="Segoe UI"/>
            <family val="2"/>
          </rPr>
          <t>A conta de reconciliação na contabilidade geral é a conta que nos lançamentos comuns (por ex., fatura, pagamento) é atualizada paralelamente à conta da contabilidade auxiliar.
Em lançamentos especiais (z.B. adiantamento, letra de câmbio), esta conta é substituída por outra conta (por ex., 'Adiantamentos conservados', em vez de 'Crédito').
A substituição ocorre com base no código do livro do Razão Especial que deve ser indicado em tais lançamentos.</t>
        </r>
      </text>
    </comment>
    <comment ref="B120" authorId="2" shapeId="0" xr:uid="{00000000-0006-0000-0100-000026000000}">
      <text>
        <r>
          <rPr>
            <sz val="9"/>
            <color indexed="81"/>
            <rFont val="Segoe UI"/>
            <family val="2"/>
          </rPr>
          <t xml:space="preserve">Indica a regra de estruturação para o campo Atribuição no item do documento.
</t>
        </r>
      </text>
    </comment>
    <comment ref="B121" authorId="2" shapeId="0" xr:uid="{00000000-0006-0000-0100-000027000000}">
      <text>
        <r>
          <rPr>
            <sz val="9"/>
            <color indexed="81"/>
            <rFont val="Segoe UI"/>
            <family val="2"/>
          </rPr>
          <t>Na administração de caixa, os clientes e fornecedores são atribuídos aos grupos de tesouraria, mediante uma entrada de registro mestre.</t>
        </r>
      </text>
    </comment>
    <comment ref="B122" authorId="2" shapeId="0" xr:uid="{00000000-0006-0000-0100-000028000000}">
      <text>
        <r>
          <rPr>
            <sz val="9"/>
            <color indexed="81"/>
            <rFont val="Segoe UI"/>
            <family val="2"/>
          </rPr>
          <t xml:space="preserve">Código do país relativo ao imposto retido na fonte
Em alguns países é necessário um país adicional para o cálculo ou o reporting do imposto retido na fonte.
O cálculo pode depender do país do recebedor do pagamento.
Para o reporting pode ser prescrito um determinado código de país que seja, eventualmente, divergente da chave utilizada no endereço.
Exemplos: Japão, USA (1042), Argentina
</t>
        </r>
      </text>
    </comment>
    <comment ref="B123" authorId="2" shapeId="0" xr:uid="{00000000-0006-0000-0100-000029000000}">
      <text>
        <r>
          <rPr>
            <sz val="9"/>
            <color indexed="81"/>
            <rFont val="Segoe UI"/>
            <family val="2"/>
          </rPr>
          <t xml:space="preserve">Nº antigo de registro mestre
Se, na implementação do sistema FI, os clientes ou fornecedores forem numerados de novo, o número de registro mestre antigo pode ser arquivado neste campo.
</t>
        </r>
      </text>
    </comment>
    <comment ref="B126" authorId="2" shapeId="0" xr:uid="{00000000-0006-0000-0100-00002A000000}">
      <text>
        <r>
          <rPr>
            <sz val="9"/>
            <color indexed="81"/>
            <rFont val="Segoe UI"/>
            <family val="2"/>
          </rPr>
          <t xml:space="preserve">Chave de condições de pagamento
Chave através da qual são definidas as condições de pagamento em forma de porcentagens de desconto e os prazos de pagamento.
Utilização
A chave é utilizada em ordens, pedidos e faturas. As respetivas condições de pagamento fornecem informações sobre a administração de tesouraria, o sistema de reclamação de pagamento e os pagamentos.
</t>
        </r>
      </text>
    </comment>
    <comment ref="B127" authorId="2" shapeId="0" xr:uid="{00000000-0006-0000-0100-00002B000000}">
      <text>
        <r>
          <rPr>
            <sz val="9"/>
            <color indexed="81"/>
            <rFont val="Segoe UI"/>
            <family val="2"/>
          </rPr>
          <t>Lista dos meios de pagamento, que podem ser utilizados nos pagamentos automáticos com este parceiro de negócios, se não estiver indicado nenhum meio de pagamento na partida a pagar</t>
        </r>
      </text>
    </comment>
    <comment ref="B128" authorId="3" shapeId="0" xr:uid="{00000000-0006-0000-0100-00002C000000}">
      <text>
        <r>
          <rPr>
            <sz val="9"/>
            <color indexed="81"/>
            <rFont val="Segoe UI"/>
            <family val="2"/>
          </rPr>
          <t xml:space="preserve">
A chave de agrupamento representa uma regra, segundo a qual devem ser agrupadas as partidas em aberto da conta para um pagamento.
Utilização
A chave de agrupamento é utilizada, se as partidas em aberto de um cliente ou de um fornecedor não devem ser pagas em conjunto, mas se apenas devem ser agrupadas em um pagamento partidas em aberto relacionadas. Para cada chave de agrupamento são definidos no máximo três campos da partida em aberto, cujos conteúdos devem coincidir, para que as partidas em aberto possam ser pagas conjuntamente.
Exemplos
Se for utilizada a administração de empréstimos, é possível definir como regra, que apenas as partidas com o mesmo número de empréstimo podem ser sacadas conjuntamente por nota de débito.
</t>
        </r>
      </text>
    </comment>
    <comment ref="B131" authorId="2" shapeId="0" xr:uid="{00000000-0006-0000-0100-00002D000000}">
      <text>
        <r>
          <rPr>
            <sz val="9"/>
            <color indexed="81"/>
            <rFont val="Segoe UI"/>
            <family val="2"/>
          </rPr>
          <t>Código que identifica a empresa.</t>
        </r>
      </text>
    </comment>
    <comment ref="B132" authorId="2" shapeId="0" xr:uid="{00000000-0006-0000-0100-00002E000000}">
      <text>
        <r>
          <rPr>
            <sz val="9"/>
            <color indexed="81"/>
            <rFont val="Segoe UI"/>
            <family val="2"/>
          </rPr>
          <t>A conta de reconciliação na contabilidade geral é a conta que nos lançamentos comuns (por ex., fatura, pagamento) é atualizada paralelamente à conta da contabilidade auxiliar.
Em lançamentos especiais (z.B. adiantamento, letra de câmbio), esta conta é substituída por outra conta (por ex., 'Adiantamentos conservados', em vez de 'Crédito').
A substituição ocorre com base no código do livro do Razão Especial que deve ser indicado em tais lançamentos.</t>
        </r>
      </text>
    </comment>
    <comment ref="B133" authorId="2" shapeId="0" xr:uid="{00000000-0006-0000-0100-00002F000000}">
      <text>
        <r>
          <rPr>
            <sz val="9"/>
            <color indexed="81"/>
            <rFont val="Segoe UI"/>
            <family val="2"/>
          </rPr>
          <t xml:space="preserve">Indica a regra de estruturação para o campo Atribuição no item do documento.
</t>
        </r>
      </text>
    </comment>
    <comment ref="B134" authorId="2" shapeId="0" xr:uid="{00000000-0006-0000-0100-000030000000}">
      <text>
        <r>
          <rPr>
            <sz val="9"/>
            <color indexed="81"/>
            <rFont val="Segoe UI"/>
            <family val="2"/>
          </rPr>
          <t>Na administração de caixa, os clientes e fornecedores são atribuídos aos grupos de tesouraria, mediante uma entrada de registro mestre.</t>
        </r>
      </text>
    </comment>
    <comment ref="B135" authorId="2" shapeId="0" xr:uid="{00000000-0006-0000-0100-000031000000}">
      <text>
        <r>
          <rPr>
            <sz val="9"/>
            <color indexed="81"/>
            <rFont val="Segoe UI"/>
            <family val="2"/>
          </rPr>
          <t xml:space="preserve">Código do país relativo ao imposto retido na fonte
Em alguns países é necessário um país adicional para o cálculo ou o reporting do imposto retido na fonte.
O cálculo pode depender do país do recebedor do pagamento.
Para o reporting pode ser prescrito um determinado código de país que seja, eventualmente, divergente da chave utilizada no endereço.
Exemplos: Japão, USA (1042), Argentina
</t>
        </r>
      </text>
    </comment>
    <comment ref="B136" authorId="2" shapeId="0" xr:uid="{00000000-0006-0000-0100-000032000000}">
      <text>
        <r>
          <rPr>
            <sz val="9"/>
            <color indexed="81"/>
            <rFont val="Segoe UI"/>
            <family val="2"/>
          </rPr>
          <t xml:space="preserve">Nº antigo de registro mestre
Se, na implementação do sistema FI, os clientes ou fornecedores forem numerados de novo, o número de registro mestre antigo pode ser arquivado neste campo.
</t>
        </r>
      </text>
    </comment>
    <comment ref="B139" authorId="2" shapeId="0" xr:uid="{00000000-0006-0000-0100-000033000000}">
      <text>
        <r>
          <rPr>
            <sz val="9"/>
            <color indexed="81"/>
            <rFont val="Segoe UI"/>
            <family val="2"/>
          </rPr>
          <t xml:space="preserve">Chave de condições de pagamento
Chave através da qual são definidas as condições de pagamento em forma de porcentagens de desconto e os prazos de pagamento.
Utilização
A chave é utilizada em ordens, pedidos e faturas. As respetivas condições de pagamento fornecem informações sobre a administração de tesouraria, o sistema de reclamação de pagamento e os pagamentos.
</t>
        </r>
      </text>
    </comment>
    <comment ref="B140" authorId="2" shapeId="0" xr:uid="{00000000-0006-0000-0100-000034000000}">
      <text>
        <r>
          <rPr>
            <sz val="9"/>
            <color indexed="81"/>
            <rFont val="Segoe UI"/>
            <family val="2"/>
          </rPr>
          <t>Lista dos meios de pagamento, que podem ser utilizados nos pagamentos automáticos com este parceiro de negócios, se não estiver indicado nenhum meio de pagamento na partida a pagar</t>
        </r>
      </text>
    </comment>
    <comment ref="B141" authorId="3" shapeId="0" xr:uid="{00000000-0006-0000-0100-000035000000}">
      <text>
        <r>
          <rPr>
            <sz val="9"/>
            <color indexed="81"/>
            <rFont val="Segoe UI"/>
            <family val="2"/>
          </rPr>
          <t xml:space="preserve">
A chave de agrupamento representa uma regra, segundo a qual devem ser agrupadas as partidas em aberto da conta para um pagamento.
Utilização
A chave de agrupamento é utilizada, se as partidas em aberto de um cliente ou de um fornecedor não devem ser pagas em conjunto, mas se apenas devem ser agrupadas em um pagamento partidas em aberto relacionadas. Para cada chave de agrupamento são definidos no máximo três campos da partida em aberto, cujos conteúdos devem coincidir, para que as partidas em aberto possam ser pagas conjuntamente.
Exemplos
Se for utilizada a administração de empréstimos, é possível definir como regra, que apenas as partidas com o mesmo número de empréstimo podem ser sacadas conjuntamente por nota de débito.
</t>
        </r>
      </text>
    </comment>
    <comment ref="B144" authorId="2" shapeId="0" xr:uid="{00000000-0006-0000-0100-000036000000}">
      <text>
        <r>
          <rPr>
            <sz val="9"/>
            <color indexed="81"/>
            <rFont val="Segoe UI"/>
            <family val="2"/>
          </rPr>
          <t>Código que identifica a empresa.</t>
        </r>
      </text>
    </comment>
    <comment ref="B145" authorId="2" shapeId="0" xr:uid="{00000000-0006-0000-0100-000037000000}">
      <text>
        <r>
          <rPr>
            <sz val="9"/>
            <color indexed="81"/>
            <rFont val="Segoe UI"/>
            <family val="2"/>
          </rPr>
          <t>A conta de reconciliação na contabilidade geral é a conta que nos lançamentos comuns (por ex., fatura, pagamento) é atualizada paralelamente à conta da contabilidade auxiliar.
Em lançamentos especiais (z.B. adiantamento, letra de câmbio), esta conta é substituída por outra conta (por ex., 'Adiantamentos conservados', em vez de 'Crédito').
A substituição ocorre com base no código do livro do Razão Especial que deve ser indicado em tais lançamentos.</t>
        </r>
      </text>
    </comment>
    <comment ref="B146" authorId="2" shapeId="0" xr:uid="{00000000-0006-0000-0100-000038000000}">
      <text>
        <r>
          <rPr>
            <sz val="9"/>
            <color indexed="81"/>
            <rFont val="Segoe UI"/>
            <family val="2"/>
          </rPr>
          <t xml:space="preserve">Indica a regra de estruturação para o campo Atribuição no item do documento.
</t>
        </r>
      </text>
    </comment>
    <comment ref="B147" authorId="2" shapeId="0" xr:uid="{00000000-0006-0000-0100-000039000000}">
      <text>
        <r>
          <rPr>
            <sz val="9"/>
            <color indexed="81"/>
            <rFont val="Segoe UI"/>
            <family val="2"/>
          </rPr>
          <t>Na administração de caixa, os clientes e fornecedores são atribuídos aos grupos de tesouraria, mediante uma entrada de registro mestre.</t>
        </r>
      </text>
    </comment>
    <comment ref="B148" authorId="2" shapeId="0" xr:uid="{00000000-0006-0000-0100-00003A000000}">
      <text>
        <r>
          <rPr>
            <sz val="9"/>
            <color indexed="81"/>
            <rFont val="Segoe UI"/>
            <family val="2"/>
          </rPr>
          <t xml:space="preserve">Código do país relativo ao imposto retido na fonte
Em alguns países é necessário um país adicional para o cálculo ou o reporting do imposto retido na fonte.
O cálculo pode depender do país do recebedor do pagamento.
Para o reporting pode ser prescrito um determinado código de país que seja, eventualmente, divergente da chave utilizada no endereço.
Exemplos: Japão, USA (1042), Argentina
</t>
        </r>
      </text>
    </comment>
    <comment ref="B149" authorId="2" shapeId="0" xr:uid="{00000000-0006-0000-0100-00003B000000}">
      <text>
        <r>
          <rPr>
            <sz val="9"/>
            <color indexed="81"/>
            <rFont val="Segoe UI"/>
            <family val="2"/>
          </rPr>
          <t xml:space="preserve">Nº antigo de registro mestre
Se, na implementação do sistema FI, os clientes ou fornecedores forem numerados de novo, o número de registro mestre antigo pode ser arquivado neste campo.
</t>
        </r>
      </text>
    </comment>
    <comment ref="B152" authorId="2" shapeId="0" xr:uid="{00000000-0006-0000-0100-00003C000000}">
      <text>
        <r>
          <rPr>
            <sz val="9"/>
            <color indexed="81"/>
            <rFont val="Segoe UI"/>
            <family val="2"/>
          </rPr>
          <t xml:space="preserve">Chave de condições de pagamento
Chave através da qual são definidas as condições de pagamento em forma de porcentagens de desconto e os prazos de pagamento.
Utilização
A chave é utilizada em ordens, pedidos e faturas. As respetivas condições de pagamento fornecem informações sobre a administração de tesouraria, o sistema de reclamação de pagamento e os pagamentos.
</t>
        </r>
      </text>
    </comment>
    <comment ref="B153" authorId="2" shapeId="0" xr:uid="{00000000-0006-0000-0100-00003D000000}">
      <text>
        <r>
          <rPr>
            <sz val="9"/>
            <color indexed="81"/>
            <rFont val="Segoe UI"/>
            <family val="2"/>
          </rPr>
          <t>Lista dos meios de pagamento, que podem ser utilizados nos pagamentos automáticos com este parceiro de negócios, se não estiver indicado nenhum meio de pagamento na partida a pagar</t>
        </r>
      </text>
    </comment>
    <comment ref="B154" authorId="3" shapeId="0" xr:uid="{00000000-0006-0000-0100-00003E000000}">
      <text>
        <r>
          <rPr>
            <sz val="9"/>
            <color indexed="81"/>
            <rFont val="Segoe UI"/>
            <family val="2"/>
          </rPr>
          <t xml:space="preserve">
A chave de agrupamento representa uma regra, segundo a qual devem ser agrupadas as partidas em aberto da conta para um pagamento.
Utilização
A chave de agrupamento é utilizada, se as partidas em aberto de um cliente ou de um fornecedor não devem ser pagas em conjunto, mas se apenas devem ser agrupadas em um pagamento partidas em aberto relacionadas. Para cada chave de agrupamento são definidos no máximo três campos da partida em aberto, cujos conteúdos devem coincidir, para que as partidas em aberto possam ser pagas conjuntamente.
Exemplos
Se for utilizada a administração de empréstimos, é possível definir como regra, que apenas as partidas com o mesmo número de empréstimo podem ser sacadas conjuntamente por nota de débito.
</t>
        </r>
      </text>
    </comment>
    <comment ref="B157" authorId="2" shapeId="0" xr:uid="{00000000-0006-0000-0100-00003F000000}">
      <text>
        <r>
          <rPr>
            <sz val="9"/>
            <color indexed="81"/>
            <rFont val="Segoe UI"/>
            <family val="2"/>
          </rPr>
          <t>Código que identifica a empresa.</t>
        </r>
      </text>
    </comment>
    <comment ref="B158" authorId="2" shapeId="0" xr:uid="{00000000-0006-0000-0100-000040000000}">
      <text>
        <r>
          <rPr>
            <sz val="9"/>
            <color indexed="81"/>
            <rFont val="Segoe UI"/>
            <family val="2"/>
          </rPr>
          <t>A conta de reconciliação na contabilidade geral é a conta que nos lançamentos comuns (por ex., fatura, pagamento) é atualizada paralelamente à conta da contabilidade auxiliar.
Em lançamentos especiais (z.B. adiantamento, letra de câmbio), esta conta é substituída por outra conta (por ex., 'Adiantamentos conservados', em vez de 'Crédito').
A substituição ocorre com base no código do livro do Razão Especial que deve ser indicado em tais lançamentos.</t>
        </r>
      </text>
    </comment>
    <comment ref="B159" authorId="2" shapeId="0" xr:uid="{00000000-0006-0000-0100-000041000000}">
      <text>
        <r>
          <rPr>
            <sz val="9"/>
            <color indexed="81"/>
            <rFont val="Segoe UI"/>
            <family val="2"/>
          </rPr>
          <t xml:space="preserve">Indica a regra de estruturação para o campo Atribuição no item do documento.
</t>
        </r>
      </text>
    </comment>
    <comment ref="B160" authorId="2" shapeId="0" xr:uid="{00000000-0006-0000-0100-000042000000}">
      <text>
        <r>
          <rPr>
            <sz val="9"/>
            <color indexed="81"/>
            <rFont val="Segoe UI"/>
            <family val="2"/>
          </rPr>
          <t>Na administração de caixa, os clientes e fornecedores são atribuídos aos grupos de tesouraria, mediante uma entrada de registro mestre.</t>
        </r>
      </text>
    </comment>
    <comment ref="B161" authorId="2" shapeId="0" xr:uid="{00000000-0006-0000-0100-000043000000}">
      <text>
        <r>
          <rPr>
            <sz val="9"/>
            <color indexed="81"/>
            <rFont val="Segoe UI"/>
            <family val="2"/>
          </rPr>
          <t xml:space="preserve">Código do país relativo ao imposto retido na fonte
Em alguns países é necessário um país adicional para o cálculo ou o reporting do imposto retido na fonte.
O cálculo pode depender do país do recebedor do pagamento.
Para o reporting pode ser prescrito um determinado código de país que seja, eventualmente, divergente da chave utilizada no endereço.
Exemplos: Japão, USA (1042), Argentina
</t>
        </r>
      </text>
    </comment>
    <comment ref="B162" authorId="2" shapeId="0" xr:uid="{00000000-0006-0000-0100-000044000000}">
      <text>
        <r>
          <rPr>
            <sz val="9"/>
            <color indexed="81"/>
            <rFont val="Segoe UI"/>
            <family val="2"/>
          </rPr>
          <t xml:space="preserve">Nº antigo de registro mestre
Se, na implementação do sistema FI, os clientes ou fornecedores forem numerados de novo, o número de registro mestre antigo pode ser arquivado neste campo.
</t>
        </r>
      </text>
    </comment>
    <comment ref="B165" authorId="2" shapeId="0" xr:uid="{00000000-0006-0000-0100-000045000000}">
      <text>
        <r>
          <rPr>
            <sz val="9"/>
            <color indexed="81"/>
            <rFont val="Segoe UI"/>
            <family val="2"/>
          </rPr>
          <t xml:space="preserve">Chave de condições de pagamento
Chave através da qual são definidas as condições de pagamento em forma de porcentagens de desconto e os prazos de pagamento.
Utilização
A chave é utilizada em ordens, pedidos e faturas. As respetivas condições de pagamento fornecem informações sobre a administração de tesouraria, o sistema de reclamação de pagamento e os pagamentos.
</t>
        </r>
      </text>
    </comment>
    <comment ref="B166" authorId="2" shapeId="0" xr:uid="{00000000-0006-0000-0100-000046000000}">
      <text>
        <r>
          <rPr>
            <sz val="9"/>
            <color indexed="81"/>
            <rFont val="Segoe UI"/>
            <family val="2"/>
          </rPr>
          <t>Lista dos meios de pagamento, que podem ser utilizados nos pagamentos automáticos com este parceiro de negócios, se não estiver indicado nenhum meio de pagamento na partida a pagar</t>
        </r>
      </text>
    </comment>
    <comment ref="B167" authorId="3" shapeId="0" xr:uid="{00000000-0006-0000-0100-000047000000}">
      <text>
        <r>
          <rPr>
            <sz val="9"/>
            <color indexed="81"/>
            <rFont val="Segoe UI"/>
            <family val="2"/>
          </rPr>
          <t xml:space="preserve">
A chave de agrupamento representa uma regra, segundo a qual devem ser agrupadas as partidas em aberto da conta para um pagamento.
Utilização
A chave de agrupamento é utilizada, se as partidas em aberto de um cliente ou de um fornecedor não devem ser pagas em conjunto, mas se apenas devem ser agrupadas em um pagamento partidas em aberto relacionadas. Para cada chave de agrupamento são definidos no máximo três campos da partida em aberto, cujos conteúdos devem coincidir, para que as partidas em aberto possam ser pagas conjuntamente.
Exemplos
Se for utilizada a administração de empréstimos, é possível definir como regra, que apenas as partidas com o mesmo número de empréstimo podem ser sacadas conjuntamente por nota de débito.
</t>
        </r>
      </text>
    </comment>
    <comment ref="B171" authorId="2" shapeId="0" xr:uid="{00000000-0006-0000-0100-000048000000}">
      <text>
        <r>
          <rPr>
            <sz val="9"/>
            <color indexed="81"/>
            <rFont val="Segoe UI"/>
            <family val="2"/>
          </rPr>
          <t>Organização de compras DASA</t>
        </r>
      </text>
    </comment>
    <comment ref="B173" authorId="2" shapeId="0" xr:uid="{00000000-0006-0000-0100-000049000000}">
      <text>
        <r>
          <rPr>
            <sz val="9"/>
            <color indexed="81"/>
            <rFont val="Segoe UI"/>
            <family val="2"/>
          </rPr>
          <t>Chave para a moeda na qual se baseia um pedido efetuado com um fornecedor.</t>
        </r>
      </text>
    </comment>
    <comment ref="B174" authorId="2" shapeId="0" xr:uid="{00000000-0006-0000-0100-00004A000000}">
      <text>
        <r>
          <rPr>
            <sz val="9"/>
            <color indexed="81"/>
            <rFont val="Segoe UI"/>
            <family val="2"/>
          </rPr>
          <t>Chave através da qual são definidas as condições de pagamento em forma de porcentagens de desconto e os prazos de pagamento</t>
        </r>
        <r>
          <rPr>
            <b/>
            <sz val="9"/>
            <color indexed="81"/>
            <rFont val="Segoe UI"/>
            <family val="2"/>
          </rPr>
          <t xml:space="preserve">.
</t>
        </r>
        <r>
          <rPr>
            <sz val="9"/>
            <color indexed="81"/>
            <rFont val="Segoe UI"/>
            <family val="2"/>
          </rPr>
          <t xml:space="preserve">
</t>
        </r>
      </text>
    </comment>
    <comment ref="B175" authorId="2" shapeId="0" xr:uid="{00000000-0006-0000-0100-00004B000000}">
      <text>
        <r>
          <rPr>
            <sz val="9"/>
            <color indexed="81"/>
            <rFont val="Segoe UI"/>
            <family val="2"/>
          </rPr>
          <t xml:space="preserve">Fórmulas de contrato utilizadas que correspondem às regras da Câmara de Comércio e Indústria Internacional (CCI).
</t>
        </r>
      </text>
    </comment>
    <comment ref="B176" authorId="2" shapeId="0" xr:uid="{00000000-0006-0000-0100-00004C000000}">
      <text>
        <r>
          <rPr>
            <sz val="9"/>
            <color indexed="81"/>
            <rFont val="Segoe UI"/>
            <family val="2"/>
          </rPr>
          <t xml:space="preserve">Local incoterms 1
Fornece informação adicional para o incoterm primário. Este campo representa para incoterms 2010:
1. Para transporte marítimo e transporte em embarcação fluvial - porto de embarque
2. Para qualquer modo de transporte - local do fornecimento 2010
Os incoterms são divididos como se segue:
Grupo 1: regras para qualquer modo ou modos de transporte (incluindo por navio)
Incoterms Descrição de incoterms  Local 1  
EXW Na origem  Local do fornecimento 
FCA Franco transportador  Local do fornecimento 
CPT Frete pago  Cidade de destino 
CIP Frete e seguro pagos  Cidade de destino 
DAF Entregue na fronteira  Local do fornecimento 
DDP Entregue com direitos alfandegários pagos  Cidade de destino 
DDU Entregue com direitos alfandegários não pagos  Cidade de destino 
Grupo 2: Regras para transporte marítimo e fluvial
Incoterms Descrição de incoterms Local 1  
FAS Posto ao lado do navio Porto de embarque 
FOB Franco a bordo Porto de embarque 
CFR Custos e frete Porto de destino 
CIF Custos, seguro e frete Porto de destino 
DEQ Entregue no cais (direitos pagos) Porto de destino 
DES Entregue no navio Porto de destino 
Exemplo
Se o incoterm primário estiver indicado como FOB "Franco a bordo", o segundo campo fornece detalhes 
sobre o porto a partir do qual a entrega parte, como, por exemplo FOB Boston.
</t>
        </r>
      </text>
    </comment>
    <comment ref="B178" authorId="2" shapeId="0" xr:uid="{00000000-0006-0000-0100-00004D000000}">
      <text>
        <r>
          <rPr>
            <sz val="9"/>
            <color indexed="81"/>
            <rFont val="Segoe UI"/>
            <family val="2"/>
          </rPr>
          <t xml:space="preserve">Determina que esquema de cálculo deve ser utilizado em documentos de compra contendo este número de fornecedor.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Fernanda do Nascimento Chaves</author>
    <author>Shirley Midori</author>
  </authors>
  <commentList>
    <comment ref="B4" authorId="0" shapeId="0" xr:uid="{00000000-0006-0000-0200-000001000000}">
      <text>
        <r>
          <rPr>
            <sz val="9"/>
            <color indexed="81"/>
            <rFont val="Segoe UI"/>
            <family val="2"/>
          </rPr>
          <t xml:space="preserve">Número do Cadastro Nacional Pessoa Jurídica - CNPJ - é um número único que identifica uma pessoa jurídica e outros tipos de arranjo jurídico sem personalidade jurídica </t>
        </r>
      </text>
    </comment>
    <comment ref="B5" authorId="1" shapeId="0" xr:uid="{00000000-0006-0000-0200-000002000000}">
      <text>
        <r>
          <rPr>
            <sz val="9"/>
            <color indexed="81"/>
            <rFont val="Segoe UI"/>
            <family val="2"/>
          </rPr>
          <t>Escolher o grupo de fornecedor</t>
        </r>
      </text>
    </comment>
    <comment ref="B6" authorId="1" shapeId="0" xr:uid="{00000000-0006-0000-0200-000003000000}">
      <text>
        <r>
          <rPr>
            <sz val="9"/>
            <color indexed="81"/>
            <rFont val="Segoe UI"/>
            <family val="2"/>
          </rPr>
          <t xml:space="preserve">
Escolher o tipo de insumo se o grupo de fornecedor for 'Insumos', senão deixar em branco</t>
        </r>
      </text>
    </comment>
    <comment ref="B7" authorId="1" shapeId="0" xr:uid="{00000000-0006-0000-0200-000004000000}">
      <text>
        <r>
          <rPr>
            <sz val="9"/>
            <color indexed="81"/>
            <rFont val="Segoe UI"/>
            <family val="2"/>
          </rPr>
          <t xml:space="preserve">Escolher o tipo de serviço se o grupo de fornecedor for 'Serviços', senão deixar em branco
</t>
        </r>
      </text>
    </comment>
    <comment ref="B8" authorId="1" shapeId="0" xr:uid="{00000000-0006-0000-0200-000005000000}">
      <text>
        <r>
          <rPr>
            <sz val="9"/>
            <color indexed="81"/>
            <rFont val="Segoe UI"/>
            <family val="2"/>
          </rPr>
          <t xml:space="preserve">Escolher o tipo de obra se o grupo de fornecedor for 'Obras', senão deixar em branco
</t>
        </r>
      </text>
    </comment>
    <comment ref="B9" authorId="1" shapeId="0" xr:uid="{00000000-0006-0000-0200-000006000000}">
      <text>
        <r>
          <rPr>
            <sz val="9"/>
            <color indexed="81"/>
            <rFont val="Segoe UI"/>
            <family val="2"/>
          </rPr>
          <t xml:space="preserve">Escolher uma opção  se o grupo de fornecedor  'TI e DD', senão deixar em branco
</t>
        </r>
      </text>
    </comment>
    <comment ref="B10" authorId="0" shapeId="0" xr:uid="{00000000-0006-0000-0200-000007000000}">
      <text>
        <r>
          <rPr>
            <sz val="9"/>
            <color indexed="81"/>
            <rFont val="Segoe UI"/>
            <family val="2"/>
          </rPr>
          <t>Determina se o fornecedor é fabricante.</t>
        </r>
      </text>
    </comment>
    <comment ref="B11" authorId="0" shapeId="0" xr:uid="{00000000-0006-0000-0200-000008000000}">
      <text>
        <r>
          <rPr>
            <sz val="9"/>
            <color indexed="81"/>
            <rFont val="Segoe UI"/>
            <family val="2"/>
          </rPr>
          <t>Determina se a origem do serviço é de fora do país.</t>
        </r>
      </text>
    </comment>
    <comment ref="B12" authorId="0" shapeId="0" xr:uid="{00000000-0006-0000-0200-000009000000}">
      <text>
        <r>
          <rPr>
            <sz val="9"/>
            <color indexed="81"/>
            <rFont val="Segoe UI"/>
            <family val="2"/>
          </rPr>
          <t xml:space="preserve">Indica se o fornecedor possui regime especial.
</t>
        </r>
      </text>
    </comment>
    <comment ref="B13" authorId="0" shapeId="0" xr:uid="{00000000-0006-0000-0200-00000A000000}">
      <text>
        <r>
          <rPr>
            <sz val="9"/>
            <color indexed="81"/>
            <rFont val="Segoe UI"/>
            <family val="2"/>
          </rPr>
          <t>Determina a existência de decisão judicial.</t>
        </r>
      </text>
    </comment>
    <comment ref="B14" authorId="0" shapeId="0" xr:uid="{00000000-0006-0000-0200-00000B000000}">
      <text>
        <r>
          <rPr>
            <sz val="9"/>
            <color indexed="81"/>
            <rFont val="Segoe UI"/>
            <family val="2"/>
          </rPr>
          <t xml:space="preserve">Indica se o fornecedor é uma entidade governamental.
</t>
        </r>
      </text>
    </comment>
    <comment ref="B15" authorId="0" shapeId="0" xr:uid="{00000000-0006-0000-0200-00000C000000}">
      <text>
        <r>
          <rPr>
            <sz val="9"/>
            <color indexed="81"/>
            <rFont val="Segoe UI"/>
            <family val="2"/>
          </rPr>
          <t>Determina se o fornecedor oferece mão de obra.</t>
        </r>
      </text>
    </comment>
    <comment ref="B16" authorId="0" shapeId="0" xr:uid="{00000000-0006-0000-0200-00000D000000}">
      <text>
        <r>
          <rPr>
            <sz val="9"/>
            <color indexed="81"/>
            <rFont val="Segoe UI"/>
            <family val="2"/>
          </rPr>
          <t>Determina o enquadramento em um ou mais dos incisos I a XXII do art. 3º da Lei Complementar nº 116/2003.</t>
        </r>
      </text>
    </comment>
    <comment ref="B17" authorId="0" shapeId="0" xr:uid="{00000000-0006-0000-0200-00000E000000}">
      <text>
        <r>
          <rPr>
            <sz val="9"/>
            <color indexed="81"/>
            <rFont val="Segoe UI"/>
            <family val="2"/>
          </rPr>
          <t xml:space="preserve">Indica se o fornecedor possui Alvará ou Licença de Funcionamento Municipal.
</t>
        </r>
      </text>
    </comment>
    <comment ref="B18" authorId="0" shapeId="0" xr:uid="{00000000-0006-0000-0200-00000F000000}">
      <text>
        <r>
          <rPr>
            <sz val="9"/>
            <color indexed="81"/>
            <rFont val="Segoe UI"/>
            <family val="2"/>
          </rPr>
          <t xml:space="preserve">Indica se o fornecedor possui Licença de Operação Específica (Conforme Atividade).
</t>
        </r>
      </text>
    </comment>
    <comment ref="B19" authorId="0" shapeId="0" xr:uid="{00000000-0006-0000-0200-000010000000}">
      <text>
        <r>
          <rPr>
            <sz val="9"/>
            <color indexed="81"/>
            <rFont val="Segoe UI"/>
            <family val="2"/>
          </rPr>
          <t>Indica se o fornecedor possui Autorização de funcionamento - AF - ANVISA.</t>
        </r>
      </text>
    </comment>
    <comment ref="B20" authorId="0" shapeId="0" xr:uid="{00000000-0006-0000-0200-000011000000}">
      <text>
        <r>
          <rPr>
            <sz val="9"/>
            <color indexed="81"/>
            <rFont val="Segoe UI"/>
            <family val="2"/>
          </rPr>
          <t>Indica se o fornecedor possui Autorização de funcionamento Especial - AFE - ANVISA.</t>
        </r>
      </text>
    </comment>
    <comment ref="B21" authorId="0" shapeId="0" xr:uid="{00000000-0006-0000-0200-000012000000}">
      <text>
        <r>
          <rPr>
            <sz val="9"/>
            <color indexed="81"/>
            <rFont val="Segoe UI"/>
            <family val="2"/>
          </rPr>
          <t xml:space="preserve">Indica se o fornecedor possui Responsabilidada Técnica e inscrição da organização no órgão competente (CRF, CRQ...).
</t>
        </r>
      </text>
    </comment>
    <comment ref="B22" authorId="0" shapeId="0" xr:uid="{00000000-0006-0000-0200-000013000000}">
      <text>
        <r>
          <rPr>
            <sz val="9"/>
            <color indexed="81"/>
            <rFont val="Segoe UI"/>
            <family val="2"/>
          </rPr>
          <t xml:space="preserve">Indica se o fornecedor possui Licença para comercialização/transporte de Produtos Perigosos/Controlados - Polícia Civil.
</t>
        </r>
      </text>
    </comment>
    <comment ref="B23" authorId="0" shapeId="0" xr:uid="{00000000-0006-0000-0200-000014000000}">
      <text>
        <r>
          <rPr>
            <sz val="9"/>
            <color indexed="81"/>
            <rFont val="Segoe UI"/>
            <family val="2"/>
          </rPr>
          <t>Indica se o fornecedor possui Licença para comercialização/transporte de Produtos Perigosos/Controlados - Polícia Federal.</t>
        </r>
      </text>
    </comment>
    <comment ref="B24" authorId="0" shapeId="0" xr:uid="{00000000-0006-0000-0200-000015000000}">
      <text>
        <r>
          <rPr>
            <sz val="9"/>
            <color indexed="81"/>
            <rFont val="Segoe UI"/>
            <family val="2"/>
          </rPr>
          <t>Indica se o fornecedor possui Licença para comercialização/transporte de Produtos Perigosos/Controlados - Exército</t>
        </r>
      </text>
    </comment>
    <comment ref="B25" authorId="0" shapeId="0" xr:uid="{00000000-0006-0000-0200-000016000000}">
      <text>
        <r>
          <rPr>
            <sz val="9"/>
            <color indexed="81"/>
            <rFont val="Segoe UI"/>
            <family val="2"/>
          </rPr>
          <t xml:space="preserve">Indica se o fornecedor possui Fispq - Ficha de informação de segurança de produtos químicos (químicos puro, pronto-reagentes , soluções).
</t>
        </r>
      </text>
    </comment>
    <comment ref="B26" authorId="0" shapeId="0" xr:uid="{00000000-0006-0000-0200-000017000000}">
      <text>
        <r>
          <rPr>
            <sz val="9"/>
            <color indexed="81"/>
            <rFont val="Segoe UI"/>
            <family val="2"/>
          </rPr>
          <t xml:space="preserve">Indica se o fornecedor possui Contrato Social / Ata da diretoria.
</t>
        </r>
      </text>
    </comment>
    <comment ref="B27" authorId="0" shapeId="0" xr:uid="{00000000-0006-0000-0200-000018000000}">
      <text>
        <r>
          <rPr>
            <sz val="9"/>
            <color indexed="81"/>
            <rFont val="Segoe UI"/>
            <family val="2"/>
          </rPr>
          <t>Indica se o fornecedor possui comprovante do recolhimento dos Encargos Sociais  (GPS - Guia de Previdência Social).</t>
        </r>
      </text>
    </comment>
    <comment ref="B28" authorId="0" shapeId="0" xr:uid="{00000000-0006-0000-0200-000019000000}">
      <text>
        <r>
          <rPr>
            <sz val="9"/>
            <color indexed="81"/>
            <rFont val="Segoe UI"/>
            <family val="2"/>
          </rPr>
          <t>Indica se o fornecedor, caso ele tenha funcionário(s) fixo(s) em suas instalações, o(s) funcionário(s) possuem ASO (Atestado de Saúde Ocupaciona).</t>
        </r>
      </text>
    </comment>
    <comment ref="B29" authorId="0" shapeId="0" xr:uid="{00000000-0006-0000-0200-00001A000000}">
      <text>
        <r>
          <rPr>
            <sz val="9"/>
            <color indexed="81"/>
            <rFont val="Segoe UI"/>
            <family val="2"/>
          </rPr>
          <t xml:space="preserve">Indica se o fornecedor, caso ele tenha funcionário(s) fixo(s) em suas instalações, o(s) funcionário(s) possuem PPRA (Programa de Prevenção dos Riscos Ambientais).
</t>
        </r>
      </text>
    </comment>
    <comment ref="B30" authorId="0" shapeId="0" xr:uid="{00000000-0006-0000-0200-00001B000000}">
      <text>
        <r>
          <rPr>
            <sz val="9"/>
            <color indexed="81"/>
            <rFont val="Segoe UI"/>
            <family val="2"/>
          </rPr>
          <t>Indica se o fornecedor, caso ele tenha funcionário(s) fixo(s) em suas instalações, o(s) funcionário(s) possuem PCMSO (Programa de Controle Médico de Saúde Ocupacional).</t>
        </r>
      </text>
    </comment>
    <comment ref="B31" authorId="0" shapeId="0" xr:uid="{00000000-0006-0000-0200-00001C000000}">
      <text>
        <r>
          <rPr>
            <sz val="9"/>
            <color indexed="81"/>
            <rFont val="Segoe UI"/>
            <family val="2"/>
          </rPr>
          <t>Indica se o fornecedor possui a certificação SGA (Sistema de Gestão Ambiental).</t>
        </r>
      </text>
    </comment>
    <comment ref="B32" authorId="0" shapeId="0" xr:uid="{00000000-0006-0000-0200-00001D000000}">
      <text>
        <r>
          <rPr>
            <sz val="9"/>
            <color indexed="81"/>
            <rFont val="Segoe UI"/>
            <family val="2"/>
          </rPr>
          <t>Indica se o fornecedor possui a certificação OHSAS 18001(*).</t>
        </r>
      </text>
    </comment>
    <comment ref="B33" authorId="0" shapeId="0" xr:uid="{00000000-0006-0000-0200-00001E000000}">
      <text>
        <r>
          <rPr>
            <sz val="9"/>
            <color indexed="81"/>
            <rFont val="Segoe UI"/>
            <family val="2"/>
          </rPr>
          <t xml:space="preserve">Indica se o fornecedor possui uma política formal de sustentabilidade.
</t>
        </r>
      </text>
    </comment>
    <comment ref="B34" authorId="0" shapeId="0" xr:uid="{00000000-0006-0000-0200-00001F000000}">
      <text>
        <r>
          <rPr>
            <sz val="9"/>
            <color indexed="81"/>
            <rFont val="Segoe UI"/>
            <family val="2"/>
          </rPr>
          <t>Indica se o fornecedor laboratório parceiro possui controle de qualidade ou certificação ISO9000.</t>
        </r>
      </text>
    </comment>
    <comment ref="B35" authorId="0" shapeId="0" xr:uid="{00000000-0006-0000-0200-000020000000}">
      <text>
        <r>
          <rPr>
            <sz val="9"/>
            <color indexed="81"/>
            <rFont val="Segoe UI"/>
            <family val="2"/>
          </rPr>
          <t>Indica se os produtos fornecidos pelo fornecedor laboratório parceiro possuem registro em orgão competente (DICQ, PALC, PELM, PNCQ).</t>
        </r>
      </text>
    </comment>
    <comment ref="B36" authorId="0" shapeId="0" xr:uid="{00000000-0006-0000-0200-000021000000}">
      <text>
        <r>
          <rPr>
            <sz val="9"/>
            <color indexed="81"/>
            <rFont val="Segoe UI"/>
            <family val="2"/>
          </rPr>
          <t xml:space="preserve">Indica se no fornecedor laboratório parceiro existe local apropriado e controlado para armazenar os produtos e registros disponíveis.
</t>
        </r>
      </text>
    </comment>
    <comment ref="B37" authorId="0" shapeId="0" xr:uid="{00000000-0006-0000-0200-000022000000}">
      <text>
        <r>
          <rPr>
            <sz val="9"/>
            <color indexed="81"/>
            <rFont val="Segoe UI"/>
            <family val="2"/>
          </rPr>
          <t>Indica se o fornecedor laboratório parceiro permite a verificação de suas instalações.</t>
        </r>
      </text>
    </comment>
    <comment ref="B38" authorId="0" shapeId="0" xr:uid="{00000000-0006-0000-0200-000023000000}">
      <text>
        <r>
          <rPr>
            <sz val="9"/>
            <color indexed="81"/>
            <rFont val="Segoe UI"/>
            <family val="2"/>
          </rPr>
          <t xml:space="preserve">Indica se o fornecedor laboratório parceiro oferece serviços de acordo com a determinação do contratante.
</t>
        </r>
      </text>
    </comment>
    <comment ref="B39" authorId="0" shapeId="0" xr:uid="{00000000-0006-0000-0200-000024000000}">
      <text>
        <r>
          <rPr>
            <sz val="9"/>
            <color indexed="81"/>
            <rFont val="Segoe UI"/>
            <family val="2"/>
          </rPr>
          <t xml:space="preserve">Indica se o fornecedor laboratório parceiro possui Licença de funcionamento junto a Vigilância Sanitária.
</t>
        </r>
      </text>
    </comment>
    <comment ref="B40" authorId="0" shapeId="0" xr:uid="{00000000-0006-0000-0200-000025000000}">
      <text>
        <r>
          <rPr>
            <sz val="9"/>
            <color indexed="81"/>
            <rFont val="Segoe UI"/>
            <family val="2"/>
          </rPr>
          <t>Indica se o fornecedor laboratório parceiro possui Alvará de Localização e funcionamento.</t>
        </r>
      </text>
    </comment>
    <comment ref="B41" authorId="0" shapeId="0" xr:uid="{00000000-0006-0000-0200-000026000000}">
      <text>
        <r>
          <rPr>
            <sz val="9"/>
            <color indexed="81"/>
            <rFont val="Segoe UI"/>
            <family val="2"/>
          </rPr>
          <t>Indica se o fornecedor laboratório parceiro possui Registro do responsável junto ao CRF (Conselho Regional Farmácia).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Shirley Midori</author>
  </authors>
  <commentList>
    <comment ref="B5" authorId="0" shapeId="0" xr:uid="{00000000-0006-0000-0300-000001000000}">
      <text>
        <r>
          <rPr>
            <sz val="9"/>
            <color indexed="81"/>
            <rFont val="Segoe UI"/>
            <family val="2"/>
          </rPr>
          <t>inserir o nº do documento</t>
        </r>
      </text>
    </comment>
    <comment ref="B6" authorId="0" shapeId="0" xr:uid="{00000000-0006-0000-0300-000002000000}">
      <text>
        <r>
          <rPr>
            <sz val="9"/>
            <color indexed="81"/>
            <rFont val="Segoe UI"/>
            <family val="2"/>
          </rPr>
          <t xml:space="preserve">Data do cadastro
</t>
        </r>
      </text>
    </comment>
    <comment ref="B7" authorId="0" shapeId="0" xr:uid="{00000000-0006-0000-0300-000003000000}">
      <text>
        <r>
          <rPr>
            <sz val="9"/>
            <color indexed="81"/>
            <rFont val="Segoe UI"/>
            <family val="2"/>
          </rPr>
          <t>Data do inicio da validade do documento</t>
        </r>
      </text>
    </comment>
    <comment ref="B8" authorId="0" shapeId="0" xr:uid="{00000000-0006-0000-0300-000004000000}">
      <text>
        <r>
          <rPr>
            <sz val="9"/>
            <color indexed="81"/>
            <rFont val="Segoe UI"/>
            <family val="2"/>
          </rPr>
          <t xml:space="preserve">Data final da validade do documento
</t>
        </r>
      </text>
    </comment>
    <comment ref="B13" authorId="0" shapeId="0" xr:uid="{00000000-0006-0000-0300-000005000000}">
      <text>
        <r>
          <rPr>
            <sz val="9"/>
            <color indexed="81"/>
            <rFont val="Segoe UI"/>
            <family val="2"/>
          </rPr>
          <t>inserir o nº do documento</t>
        </r>
      </text>
    </comment>
    <comment ref="B14" authorId="0" shapeId="0" xr:uid="{00000000-0006-0000-0300-000006000000}">
      <text>
        <r>
          <rPr>
            <sz val="9"/>
            <color indexed="81"/>
            <rFont val="Segoe UI"/>
            <family val="2"/>
          </rPr>
          <t xml:space="preserve">Data do cadastro
</t>
        </r>
      </text>
    </comment>
    <comment ref="B15" authorId="0" shapeId="0" xr:uid="{00000000-0006-0000-0300-000007000000}">
      <text>
        <r>
          <rPr>
            <sz val="9"/>
            <color indexed="81"/>
            <rFont val="Segoe UI"/>
            <family val="2"/>
          </rPr>
          <t>Data do inicio da validade do documento</t>
        </r>
      </text>
    </comment>
    <comment ref="B16" authorId="0" shapeId="0" xr:uid="{00000000-0006-0000-0300-000008000000}">
      <text>
        <r>
          <rPr>
            <sz val="9"/>
            <color indexed="81"/>
            <rFont val="Segoe UI"/>
            <family val="2"/>
          </rPr>
          <t xml:space="preserve">Data final da validade do documento
</t>
        </r>
      </text>
    </comment>
  </commentList>
</comments>
</file>

<file path=xl/sharedStrings.xml><?xml version="1.0" encoding="utf-8"?>
<sst xmlns="http://schemas.openxmlformats.org/spreadsheetml/2006/main" count="4628" uniqueCount="3926">
  <si>
    <t>Forma de tratamento *</t>
  </si>
  <si>
    <t>S ou N</t>
  </si>
  <si>
    <t>Tipo de fornecedor</t>
  </si>
  <si>
    <t>Forma de Tratamento</t>
  </si>
  <si>
    <t>Forma Juridica</t>
  </si>
  <si>
    <t>Tipo de Endereço</t>
  </si>
  <si>
    <t>Tipo de Nº fiscal</t>
  </si>
  <si>
    <t>Tipo parceiro de negócios</t>
  </si>
  <si>
    <t>Grupo autorizações</t>
  </si>
  <si>
    <t>Formato de impressão</t>
  </si>
  <si>
    <t>Sociedade Parceira de Negócios</t>
  </si>
  <si>
    <t>Característica de agrupamento</t>
  </si>
  <si>
    <t>Bloqueio função</t>
  </si>
  <si>
    <t>Bancos</t>
  </si>
  <si>
    <t>Cod Banco</t>
  </si>
  <si>
    <t>Nome Banco</t>
  </si>
  <si>
    <t xml:space="preserve">Sistema QM </t>
  </si>
  <si>
    <t>Grupo conta referência</t>
  </si>
  <si>
    <t>CNAE</t>
  </si>
  <si>
    <t>Natureza Jurídica</t>
  </si>
  <si>
    <t>Regime tributário</t>
  </si>
  <si>
    <t>Contribuinte ICMS</t>
  </si>
  <si>
    <t>Tipo principal do setor industrial</t>
  </si>
  <si>
    <t>Tipo de declaração de imposto</t>
  </si>
  <si>
    <t>Tamanho da empresa</t>
  </si>
  <si>
    <t>Chave de notificação para ISD  intercâmbio de suporte de dados</t>
  </si>
  <si>
    <t>Chave de instruções</t>
  </si>
  <si>
    <t>Código fornecedor relev.CRR p/confirmação de recebimento de remessa</t>
  </si>
  <si>
    <t>Confirmação da transportadora prevista</t>
  </si>
  <si>
    <t>Conta de conciliação</t>
  </si>
  <si>
    <t>Chave de ordenação</t>
  </si>
  <si>
    <t xml:space="preserve">Grupo administração tesouraria </t>
  </si>
  <si>
    <t>Grupo de liberação</t>
  </si>
  <si>
    <t>Código de cálculo de juros</t>
  </si>
  <si>
    <t>Motivo de isenção do IRPF</t>
  </si>
  <si>
    <t>Tipo de distribuição para imposto salarial</t>
  </si>
  <si>
    <t>Código extrato de conta periódicos</t>
  </si>
  <si>
    <t>Empresa</t>
  </si>
  <si>
    <t>Condições pagamento</t>
  </si>
  <si>
    <t>Condição pagamento crédito</t>
  </si>
  <si>
    <t>Grupo de tolerância</t>
  </si>
  <si>
    <t>Formas de pagamento</t>
  </si>
  <si>
    <t>Banco da empresa</t>
  </si>
  <si>
    <t>Bloqueio pagamento</t>
  </si>
  <si>
    <t>Chave de agrupamento</t>
  </si>
  <si>
    <t>Procedimento advertência</t>
  </si>
  <si>
    <t>Bloqueio advertência</t>
  </si>
  <si>
    <t>Extrato conta periódico</t>
  </si>
  <si>
    <t>Organização de compras</t>
  </si>
  <si>
    <t>Moeda do pedido</t>
  </si>
  <si>
    <t>Incoterms CIF</t>
  </si>
  <si>
    <t>Condição Expedição</t>
  </si>
  <si>
    <t>Perfil contr. PROACT</t>
  </si>
  <si>
    <t>Modo transporte</t>
  </si>
  <si>
    <t>Grupo compradores</t>
  </si>
  <si>
    <t>Grupo esquema fornecedor</t>
  </si>
  <si>
    <t>Controle data determinação preço</t>
  </si>
  <si>
    <t xml:space="preserve">Controle confirmação </t>
  </si>
  <si>
    <t>Calendário planejamento</t>
  </si>
  <si>
    <t>Função do parceiro</t>
  </si>
  <si>
    <t>Tipo de relação</t>
  </si>
  <si>
    <t>Representação</t>
  </si>
  <si>
    <t>Validade</t>
  </si>
  <si>
    <t>Ciclo MRP</t>
  </si>
  <si>
    <t>forma juridica</t>
  </si>
  <si>
    <t>pessoa juridica</t>
  </si>
  <si>
    <t>Pessoa física - preenchimento obrigatório</t>
  </si>
  <si>
    <t>Imposto Renda Retido Fonte</t>
  </si>
  <si>
    <t>Sim</t>
  </si>
  <si>
    <t>Serviço</t>
  </si>
  <si>
    <t>Dr.</t>
  </si>
  <si>
    <t>1 - S.A.</t>
  </si>
  <si>
    <t>BR1 - Nº CNPJ</t>
  </si>
  <si>
    <t>D001 - Parceiro Nacional PF</t>
  </si>
  <si>
    <t>0000 - Stakeholder: visibilidade 0 (não restringida)</t>
  </si>
  <si>
    <t>1 - Braille</t>
  </si>
  <si>
    <t>001 - Subsidiária A</t>
  </si>
  <si>
    <t>1 - Bloqueio do pedido</t>
  </si>
  <si>
    <t>001 - Banco do Brasil S.A.</t>
  </si>
  <si>
    <t>001</t>
  </si>
  <si>
    <t>Banco do Brasil S.A.</t>
  </si>
  <si>
    <t>1080	ISO 9001 -  sem certificado -  nota audit&gt;80</t>
  </si>
  <si>
    <t>1 XX Fornecedor</t>
  </si>
  <si>
    <t>113000 CULTIVO DE CANA-DE-ACUCAR</t>
  </si>
  <si>
    <t>1015 - Órgão Público do Poder Executivo Federal</t>
  </si>
  <si>
    <t xml:space="preserve">1- Simples Nacional
</t>
  </si>
  <si>
    <t>1 - Não contribuinte</t>
  </si>
  <si>
    <t>1 - Fornecedor de mercadorias</t>
  </si>
  <si>
    <t>1 - Simples Nacional</t>
  </si>
  <si>
    <t>1 - Empresa de grande porte</t>
  </si>
  <si>
    <t>1 - N/transmitir reg.individual dados ao Banco Central</t>
  </si>
  <si>
    <t>BR-A-1-Credito em Conta corrente</t>
  </si>
  <si>
    <t xml:space="preserve"> - Não enviar confirmação de recebimento da remessa</t>
  </si>
  <si>
    <t>Confirmação de transportadora não prevista</t>
  </si>
  <si>
    <t>2171010001 - ALUGUEIS A PAGAR</t>
  </si>
  <si>
    <t>0 - Allocation number</t>
  </si>
  <si>
    <t>A1 - F-nacional - F-nacional</t>
  </si>
  <si>
    <t>1 - Fornecedores A</t>
  </si>
  <si>
    <t>1 - Cálc.juros partidas</t>
  </si>
  <si>
    <t>1 - Rendimento ligado a negócio no EUA</t>
  </si>
  <si>
    <t>ARQ1 - M - Multilateral</t>
  </si>
  <si>
    <t>1 - Extrato de conta semanal</t>
  </si>
  <si>
    <t>1 - pagamento imediato s/desconto</t>
  </si>
  <si>
    <t>0001 - 	pagamento imediato s/desconto</t>
  </si>
  <si>
    <t>DASA - Tolerância DASA</t>
  </si>
  <si>
    <t>ADT - Crédito em conta/DOC/TED</t>
  </si>
  <si>
    <t>AF001 - BR - 	02560003</t>
  </si>
  <si>
    <t>Autorizado p/pgto.</t>
  </si>
  <si>
    <t>01 - Tipo de documento</t>
  </si>
  <si>
    <t>1 - Reclamação de 4 níveis, quinzenal</t>
  </si>
  <si>
    <t>Livre p/cobrança</t>
  </si>
  <si>
    <t>01 - Nº/Tipo de contrato</t>
  </si>
  <si>
    <t>DASA - Organização de Compras DASA</t>
  </si>
  <si>
    <t>BRL - Real - Brasil</t>
  </si>
  <si>
    <t>CFR - Custos e frete</t>
  </si>
  <si>
    <t>1 - Standard</t>
  </si>
  <si>
    <t>SAPD - default SAP</t>
  </si>
  <si>
    <t>AT - 9 - Indústria automotiva</t>
  </si>
  <si>
    <t>1 - Guilherme - 11-2626-4464</t>
  </si>
  <si>
    <t>Z1 - DASA Compras Nacional</t>
  </si>
  <si>
    <t>Sem controle</t>
  </si>
  <si>
    <t>1 -  Confirmações</t>
  </si>
  <si>
    <t>D001 - DIA - DIARIO</t>
  </si>
  <si>
    <t>MA - Meios aux.vendas</t>
  </si>
  <si>
    <t xml:space="preserve"> ** todos</t>
  </si>
  <si>
    <t>C - Diagrama de rede</t>
  </si>
  <si>
    <t>A - Data fixada</t>
  </si>
  <si>
    <t>D001   DIA DIARIO</t>
  </si>
  <si>
    <t>1 - Med de Grupo</t>
  </si>
  <si>
    <t>CBO (Cód Brasileiro Ocupação)</t>
  </si>
  <si>
    <t>IN - INSS - Instituto Nacional do Seguro Social</t>
  </si>
  <si>
    <t>AC - Acre</t>
  </si>
  <si>
    <t>Tipo de pessoa</t>
  </si>
  <si>
    <t>Não</t>
  </si>
  <si>
    <t>Material</t>
  </si>
  <si>
    <t>Dra.</t>
  </si>
  <si>
    <t>2 - Ltda</t>
  </si>
  <si>
    <t>Correspondência</t>
  </si>
  <si>
    <t>BR2 - Nº CPF</t>
  </si>
  <si>
    <t>D002 - Parceiro Nacional PJ</t>
  </si>
  <si>
    <t>0001 - Stakeholder: visibildiade 1 (restringida)</t>
  </si>
  <si>
    <t>2 - Maiúsculas</t>
  </si>
  <si>
    <t>002 - Subsidiária B</t>
  </si>
  <si>
    <t>2 - Bloqueio solicitação de cotação e pedido</t>
  </si>
  <si>
    <t>033 - Banco Santander (Brasil) S.A.</t>
  </si>
  <si>
    <t>033</t>
  </si>
  <si>
    <t>Banco Santander (Brasil) S.A.</t>
  </si>
  <si>
    <t>1099	ISO 9001 -  sem certificado -  nota audit&gt;99</t>
  </si>
  <si>
    <t>2 XX Fornecedor de mercadoria</t>
  </si>
  <si>
    <t>141501 PRODUCAO DE SEMENTES CERTIFICADAS  EXCETO DE FORRAGEIRAS PARA PASTO</t>
  </si>
  <si>
    <t>1023 - Órgão Público do Poder Executivo Estadual ou do Distrito Federal</t>
  </si>
  <si>
    <t>2 - Simples Nacional - rendimento bruto abaixo limite inferior</t>
  </si>
  <si>
    <t>2 - Prestação de serviços</t>
  </si>
  <si>
    <t>2 - Lucro Real</t>
  </si>
  <si>
    <t>2 - Empresa de médio porte</t>
  </si>
  <si>
    <t>0 - Transmitir registro individual de dados ao Banco Central</t>
  </si>
  <si>
    <t>BR-A-2-Credito em Conta corrente</t>
  </si>
  <si>
    <t>A - Enviar sempre confirmação de recebimento da remessa</t>
  </si>
  <si>
    <t>X - Confirmação da transportadora med.portal da transportadora prevista</t>
  </si>
  <si>
    <t>2171010003 - TITULOS A PAGAR</t>
  </si>
  <si>
    <t>1 - Posting date</t>
  </si>
  <si>
    <t>A2 - F-estrang. - F-estrangeiro</t>
  </si>
  <si>
    <t>2 - Fornecedores B</t>
  </si>
  <si>
    <t>2 - Cálc.juros saldos</t>
  </si>
  <si>
    <t>2 - Isento sob código IRS</t>
  </si>
  <si>
    <t xml:space="preserve"> </t>
  </si>
  <si>
    <t>2 - Extrato de conta mensal</t>
  </si>
  <si>
    <t xml:space="preserve">2 - dentro de 14 dias 2 % desconto </t>
  </si>
  <si>
    <t>0002 - 	dentro de 14 dias 2 % desconto</t>
  </si>
  <si>
    <t>B - Boleto bancário</t>
  </si>
  <si>
    <t>AGR01 - BR - 	22240001</t>
  </si>
  <si>
    <t>* - Ignorar conta</t>
  </si>
  <si>
    <t>3 - Carta de lembrança, quinzenal</t>
  </si>
  <si>
    <t>* - Interface de cobrança</t>
  </si>
  <si>
    <t>ADP - Peseta de Andorra (obsoleto--&gt; EUR)</t>
  </si>
  <si>
    <t>CIF - Custo, seguro &amp; frete</t>
  </si>
  <si>
    <t>2 - Retirada</t>
  </si>
  <si>
    <t>AT - 7 - Sistemas de transporte dedicados</t>
  </si>
  <si>
    <t>2 - Rodrigo - 11-2626-4575</t>
  </si>
  <si>
    <t>Z2 - DASA Compras Importação</t>
  </si>
  <si>
    <t>1 - Data do pedido</t>
  </si>
  <si>
    <t>2 - Em Global</t>
  </si>
  <si>
    <t>D001 - QAA - RJ - QUA QUINZENAL GRUPO A</t>
  </si>
  <si>
    <t>PN - Parc.negóc.perecív.</t>
  </si>
  <si>
    <t>TFS0030  com o membro</t>
  </si>
  <si>
    <t>D - Hierarquia</t>
  </si>
  <si>
    <t>B - Período</t>
  </si>
  <si>
    <t>D001   	RJ - QUA QUINZENAL GRUPO A</t>
  </si>
  <si>
    <t>2 - Seguradora</t>
  </si>
  <si>
    <t>PIS/PASEP</t>
  </si>
  <si>
    <t>CO - Cofins - Contribuição para Financiamento</t>
  </si>
  <si>
    <t>AL - Alagoas</t>
  </si>
  <si>
    <t>BR1-Brasil: nº CNPJ</t>
  </si>
  <si>
    <t>Residência</t>
  </si>
  <si>
    <t>BR3 - Inscrição Estadual</t>
  </si>
  <si>
    <t>D003 - Colaboradores</t>
  </si>
  <si>
    <t>0002 - Stakeholder: visibilidade 2 (muito restringida)</t>
  </si>
  <si>
    <t>003 - Subsidiária C</t>
  </si>
  <si>
    <t>3 - Bloq.sol.cotação, pedido, entrada merc.</t>
  </si>
  <si>
    <t>104 - Caixa Econômica Federal</t>
  </si>
  <si>
    <t>104</t>
  </si>
  <si>
    <t>Caixa Econômica Federal</t>
  </si>
  <si>
    <t>1180	ISO 9001 -  com certificado -  nota audit&gt;80</t>
  </si>
  <si>
    <t>3 XX Recebedor alternativo pgto.</t>
  </si>
  <si>
    <t>1031 - Órgão Público do Poder Executivo Municipal</t>
  </si>
  <si>
    <t>3 - Regime Normal (não simples)</t>
  </si>
  <si>
    <t>3 - Transportador</t>
  </si>
  <si>
    <t>3 - Lucro Arbitrado</t>
  </si>
  <si>
    <t>3 - Empresa de pequeno porte</t>
  </si>
  <si>
    <t>Utilizar valor default banco empresa</t>
  </si>
  <si>
    <t>BR-B-1-Boleto Bancário Bradesco</t>
  </si>
  <si>
    <t>B - Enviar confirmação recebim.da remessa só em caso de desvios</t>
  </si>
  <si>
    <t>B - Confirmação da transportadora mediante IDocs prevista</t>
  </si>
  <si>
    <t>2171010004 - SEGUROS A PAGAR</t>
  </si>
  <si>
    <t>2 - Doc.no., fiscal year</t>
  </si>
  <si>
    <t>A3 - F-ligações - F-empresas ligadas</t>
  </si>
  <si>
    <t>3 - Fornecedores C</t>
  </si>
  <si>
    <t>3 - CálcJurosSald cond.2</t>
  </si>
  <si>
    <t>3 - Rendimento não dos EUA</t>
  </si>
  <si>
    <t>3 - dentro de 14 dias 3 % desconto</t>
  </si>
  <si>
    <t xml:space="preserve">	dentro de 30 dias s/desconto</t>
  </si>
  <si>
    <t>C - Cheque</t>
  </si>
  <si>
    <t>BB001 - BR - 	00193070</t>
  </si>
  <si>
    <t>A - Bloqueado p/pgto.</t>
  </si>
  <si>
    <t>5 - Reclam.de quatro níveis, quinzenalmente, formulários IS-RE</t>
  </si>
  <si>
    <t>A - Bloqueio manual motivo A...</t>
  </si>
  <si>
    <t>AED - Dirrã - Emirados Árabes Unidos</t>
  </si>
  <si>
    <t>CIP - Seguro com frete pago</t>
  </si>
  <si>
    <t>AT - 5 - Tráfego postal</t>
  </si>
  <si>
    <t>3 - Ricardo Paulino - 11-2626-4664</t>
  </si>
  <si>
    <t>2 - Data de remessa</t>
  </si>
  <si>
    <t>3 - Recebimento/EM glob.</t>
  </si>
  <si>
    <t>D001 - QAB - RJ - QUA QUINZENAL GRUPO B</t>
  </si>
  <si>
    <t>PC - Pessoa de contato</t>
  </si>
  <si>
    <t>TUKM001  conta de crédito inferior p/</t>
  </si>
  <si>
    <t>A - Lista</t>
  </si>
  <si>
    <t>D001   	RJ - QUA QUINZENAL GRUPO B</t>
  </si>
  <si>
    <t>3 - Autogestão</t>
  </si>
  <si>
    <t>CS - CSLL - Contribuição Social sobre o Lucro</t>
  </si>
  <si>
    <t>AP -Amapá</t>
  </si>
  <si>
    <t>BR2-Brasil: nº CPF</t>
  </si>
  <si>
    <t>Prezado Senhor e Senhora</t>
  </si>
  <si>
    <t>Trabalho</t>
  </si>
  <si>
    <t>BR4 - Inscrição Municipal</t>
  </si>
  <si>
    <t>D004 - Parceiro Estrangeiro</t>
  </si>
  <si>
    <t>4 - Bloqueio determinação fonte suprimento</t>
  </si>
  <si>
    <t>237 - Banco Bradesco S.A.</t>
  </si>
  <si>
    <t>237</t>
  </si>
  <si>
    <t>Banco Bradesco S.A.</t>
  </si>
  <si>
    <t>1199	ISO 9001 -  com certificado -  nota audit&gt;99</t>
  </si>
  <si>
    <t>4 XX Emissor da fatura</t>
  </si>
  <si>
    <t>153902 CRIACAO DE OVINOS  INCLUSIVE PARA PRODUCAO DE LA</t>
  </si>
  <si>
    <t>1040 - Órgão Público do Poder Legislativo Federal</t>
  </si>
  <si>
    <t>4 - Lucro Presumido</t>
  </si>
  <si>
    <t>4 - Microempresa</t>
  </si>
  <si>
    <t>BR-B-2-Boleto Bancário Febraban (exceto Bradesco)</t>
  </si>
  <si>
    <t>2171010005 - SERVICOS MEDICOS ESPECIALIZADOS</t>
  </si>
  <si>
    <t>3 - Document date</t>
  </si>
  <si>
    <t>A4 - F-atacad. - F-fornecedores atacadistas</t>
  </si>
  <si>
    <t>4 - Contas do Razão</t>
  </si>
  <si>
    <t>4 - CálcJuros part.cond2</t>
  </si>
  <si>
    <t>4 - Isento sob acordo tributário</t>
  </si>
  <si>
    <t>4 - pagamento imediato s/desconto</t>
  </si>
  <si>
    <t>0003 - 	dentro de 14 dias 3 % desconto</t>
  </si>
  <si>
    <t>D - DOC</t>
  </si>
  <si>
    <t>BR001 - BR - 	23723390</t>
  </si>
  <si>
    <t>F - Revisão de faturas</t>
  </si>
  <si>
    <t>INST - Procedimento de advertência empréstimo parcelado</t>
  </si>
  <si>
    <t>B - Bloqueio manual motivo B...</t>
  </si>
  <si>
    <t>AFA - Afegane (ant.)</t>
  </si>
  <si>
    <t>CPT - Frete pago</t>
  </si>
  <si>
    <t>AT - 4 - Transporte aéreo</t>
  </si>
  <si>
    <t>4 - Erica - 11-2626-4664</t>
  </si>
  <si>
    <t>3 - Data do dia</t>
  </si>
  <si>
    <t>4 - Recebimento</t>
  </si>
  <si>
    <t>D001 - QAS - RJ - QUA SEMANAL</t>
  </si>
  <si>
    <t>AZ - Recebedor alternat.</t>
  </si>
  <si>
    <t xml:space="preserve">FUKM001  conta de crédito superior de </t>
  </si>
  <si>
    <t>D001   	RJ - QUA SEMANAL</t>
  </si>
  <si>
    <t>4 - Coop. Médica</t>
  </si>
  <si>
    <t>IR - IRRF - Imposto de Renda Retido na Fonte</t>
  </si>
  <si>
    <t>AM - Amazonas</t>
  </si>
  <si>
    <t>BR3-Brasil: inscrição estadual</t>
  </si>
  <si>
    <t>Sr.</t>
  </si>
  <si>
    <t>D005 - Orgãos Públicos</t>
  </si>
  <si>
    <t>99 - Bloqueio total</t>
  </si>
  <si>
    <t>341 - Itaú Unibanco S.A.</t>
  </si>
  <si>
    <t>341</t>
  </si>
  <si>
    <t>Itaú Unibanco S.A.</t>
  </si>
  <si>
    <t>1299	ISO 9001 -  com certificado -  skip</t>
  </si>
  <si>
    <t>5 XX Agente de frete</t>
  </si>
  <si>
    <t>155502 PRODUCAO DE PINTOS DE UM DIA</t>
  </si>
  <si>
    <t>1058 - Órgão Público do Poder Legislativo Estadual ou do Distrito Federal</t>
  </si>
  <si>
    <t>5 - Microempresário</t>
  </si>
  <si>
    <t>BR-D-1-Credito em Conta corrente</t>
  </si>
  <si>
    <t>1141010000 - ADIANTAMENTOS A FORNECEDORES</t>
  </si>
  <si>
    <t>4 - Branch account</t>
  </si>
  <si>
    <t>A5 - Pessoal - Custos de pessoal</t>
  </si>
  <si>
    <t>5 - CálcJurosSald cond.3</t>
  </si>
  <si>
    <t>5 - Isenção juros portfolio p/Internal Revenue Code Section</t>
  </si>
  <si>
    <t>5 - pagamento imediato s/desconto</t>
  </si>
  <si>
    <t xml:space="preserve">	dentro de 20 dias 2 % desconto</t>
  </si>
  <si>
    <t>E - Débito automático</t>
  </si>
  <si>
    <t>BRB01 - BR - 	07010023</t>
  </si>
  <si>
    <t>I - CML: contr.invest.</t>
  </si>
  <si>
    <t>C - Motivo advertência p/capitalização itens atrasados</t>
  </si>
  <si>
    <t>AFN - Afegane</t>
  </si>
  <si>
    <t>DAF - Entregue na fronteira</t>
  </si>
  <si>
    <t>AT - 8 - Transporte em embarcação fluvial</t>
  </si>
  <si>
    <t>5 - Jean - 11-2626-4963</t>
  </si>
  <si>
    <t>4 - Manual</t>
  </si>
  <si>
    <t>D001 - QUA - RJ - QUI QUINZENAL GRUPO A</t>
  </si>
  <si>
    <t>EP - Endereço do pedido</t>
  </si>
  <si>
    <t>FBURC01  é acionista de</t>
  </si>
  <si>
    <t>D001   	RJ - QUI QUINZENAL GRUPO A</t>
  </si>
  <si>
    <t>5 - Hospitais</t>
  </si>
  <si>
    <t>IS - ISS - Imposto sobre Serviços</t>
  </si>
  <si>
    <t>BA- Bahia</t>
  </si>
  <si>
    <t>BR4-Brasil: inscrição municipal</t>
  </si>
  <si>
    <t>Sra.</t>
  </si>
  <si>
    <t>Extrato da conta</t>
  </si>
  <si>
    <t>D007 - Serviços Médicos PJ e PF</t>
  </si>
  <si>
    <t>Banco Bankpar S.A.</t>
  </si>
  <si>
    <t>2080	ISO 9002 -  sem certificado -  nota audit&gt;80</t>
  </si>
  <si>
    <t>6 XX Endereço de pedido</t>
  </si>
  <si>
    <t>161099 ATIVIDADES DE APOIO A AGRICULTURA NAO ESPECIFICADAS ANTERIORMENTE</t>
  </si>
  <si>
    <t>1066 - Órgão Público do Poder Legislativo Municipal</t>
  </si>
  <si>
    <t>BR-D-2-Credito em Conta corrente</t>
  </si>
  <si>
    <t>1141020000 - ADIANTAMENTOS PARA SERVICOS EXTERNOS</t>
  </si>
  <si>
    <t>5 - Loc.currency amount</t>
  </si>
  <si>
    <t>A6 - Impostos - Impostos</t>
  </si>
  <si>
    <t>10 - Cálc.juros projeto</t>
  </si>
  <si>
    <t>6 - Intermed.c/responsabilidade p/retenção imposto retido fonte</t>
  </si>
  <si>
    <t>6 - até ao dia Fim do mês 4 % desconto</t>
  </si>
  <si>
    <t>F - FGTS</t>
  </si>
  <si>
    <t>BTG01 - BR - 	20890001</t>
  </si>
  <si>
    <t>M - Partida Migrada</t>
  </si>
  <si>
    <t>H - Bloqueio H</t>
  </si>
  <si>
    <t>ALL - Lek - Albânia</t>
  </si>
  <si>
    <t>DDP - Entregue desalfandegado</t>
  </si>
  <si>
    <t>AT - 2 - Transporte ferroviário</t>
  </si>
  <si>
    <t>6 - Gabriel - 11-2626-4963</t>
  </si>
  <si>
    <t xml:space="preserve">5 - Data EM </t>
  </si>
  <si>
    <t>D001 - QUB - RJ - QUI QUINZENAL GRUPO B</t>
  </si>
  <si>
    <t>FO - Fornecedor</t>
  </si>
  <si>
    <t xml:space="preserve">TBUR020  é departamento de </t>
  </si>
  <si>
    <t>D001   	RJ - QUI QUINZENAL GRUPO B</t>
  </si>
  <si>
    <t>6 - Labor.e Clínic</t>
  </si>
  <si>
    <t>OS - PIS - Programa de Integração Social</t>
  </si>
  <si>
    <t>CE -Ceará</t>
  </si>
  <si>
    <t>2º extrato de conta</t>
  </si>
  <si>
    <t>D008 - Aluguéis PF</t>
  </si>
  <si>
    <t>9001 - Medparts Particip e Neg.Ltda.</t>
  </si>
  <si>
    <t>000 - Banco Bankpar S.A.</t>
  </si>
  <si>
    <t>000</t>
  </si>
  <si>
    <t>2099	ISO 9002 -  sem certificado -  nota audit&gt;99</t>
  </si>
  <si>
    <t>7 XX Centros</t>
  </si>
  <si>
    <t>230600 ATIVIDADES DE APOIO A PRODUCAO FLORESTAL</t>
  </si>
  <si>
    <t>1074 - Órgão Público do Poder Judiciário Federal</t>
  </si>
  <si>
    <t>BR-F-2-FGTS - GFIP</t>
  </si>
  <si>
    <t>1141020001 - ADIANTAMENTOS À DESPACHANTES</t>
  </si>
  <si>
    <t>6 - Doc.currency amount</t>
  </si>
  <si>
    <t>E1 - C-CobrBanc - C-cobrança bancária automática</t>
  </si>
  <si>
    <t>VK - CálcJurosParts.Ad CP</t>
  </si>
  <si>
    <t>7 - Sociedade pessoas estrangeira/trust c/obrigação fiscal fonte</t>
  </si>
  <si>
    <t>7 - Após entrada de fatura até ao dia 15 do mês</t>
  </si>
  <si>
    <t>0004 - 	pagamento imediato s/desconto</t>
  </si>
  <si>
    <t>G - DARF - com código de barras</t>
  </si>
  <si>
    <t>CEF01 - BR - 	10401370</t>
  </si>
  <si>
    <t>N - Proc.post.entr.pgto.</t>
  </si>
  <si>
    <t>R - Bloqueio pela revisão</t>
  </si>
  <si>
    <t>AMD - Dram - Armênia</t>
  </si>
  <si>
    <t>DDU - Entregue sem desembaraço alf.</t>
  </si>
  <si>
    <t>AT - 3 - Transporte rodoviár.</t>
  </si>
  <si>
    <t>7 - Mauricio Batista - 11 2626-4803</t>
  </si>
  <si>
    <t>D001 - QUS - RJ - QUI SEMANAL</t>
  </si>
  <si>
    <t>EF - Emissor da fatura</t>
  </si>
  <si>
    <t>TIHS001  é endereço médico</t>
  </si>
  <si>
    <t>D001   	RJ - QUI SEMANAL</t>
  </si>
  <si>
    <t>7 - Filantropia</t>
  </si>
  <si>
    <t>TI - PCC - Pis, Cofins e Contribuição Social</t>
  </si>
  <si>
    <t>DF- Distrito Federal</t>
  </si>
  <si>
    <t>D009 - Aluguéis PJ</t>
  </si>
  <si>
    <t>9002 - Lâmina Laboratório Patologia</t>
  </si>
  <si>
    <t>Banco da Amazônia S.A.</t>
  </si>
  <si>
    <t>2180	ISO 9002 -  com certificado -  nota audit&gt;80</t>
  </si>
  <si>
    <t>12 1 Nó de hierarquia</t>
  </si>
  <si>
    <t>600001 EXTRACAO DE PETROLEO E GAS NATURAL</t>
  </si>
  <si>
    <t>1082 - Órgão Público do Poder Judiciário Estadual</t>
  </si>
  <si>
    <t>BR-G-2-DARF - Com código de barras</t>
  </si>
  <si>
    <t>7 - Bill/exch.due date</t>
  </si>
  <si>
    <t>E2 - C-nacional - C-nacional</t>
  </si>
  <si>
    <t>8 - Sucursal EUA com status de pessoa EUA</t>
  </si>
  <si>
    <t>8 - Após entrada de fatura até ao dia 15 do mês</t>
  </si>
  <si>
    <t xml:space="preserve">	Data básica em Fim do mês</t>
  </si>
  <si>
    <t>H - DARF - sem códgio de barras</t>
  </si>
  <si>
    <t>HSB01 - BR - 	39991652</t>
  </si>
  <si>
    <t>P - Ordem de pagamento</t>
  </si>
  <si>
    <t>S - Motivo advertência para diferimento</t>
  </si>
  <si>
    <t>ANG - Florim das Antilhas Holandesas</t>
  </si>
  <si>
    <t>DEQ - Entrega no cais(direitos pag.)</t>
  </si>
  <si>
    <t>BE - 9 - Indústria automotiva</t>
  </si>
  <si>
    <t>8 - Odair - 11 2626-4803</t>
  </si>
  <si>
    <t>D001 - SEA - RJ - SEG QUINZENAL GRUPO A</t>
  </si>
  <si>
    <t>ED - Endereço doc.contr.</t>
  </si>
  <si>
    <t>NBUR006  é idêntico a</t>
  </si>
  <si>
    <t>D001   	RJ - SEG QUINZENAL GRUPO A</t>
  </si>
  <si>
    <t>8 - Med Ocupacional</t>
  </si>
  <si>
    <t>ES -Espítrito Santo</t>
  </si>
  <si>
    <t>Endereço da empresa</t>
  </si>
  <si>
    <t>D010 - Instituições Financeiras</t>
  </si>
  <si>
    <t>9003 - Ultrascan Serviços imagem Ltda</t>
  </si>
  <si>
    <t>003 - Banco da Amazônia S.A.</t>
  </si>
  <si>
    <t>003</t>
  </si>
  <si>
    <t>Banco do Nordeste do Brasil S.A.</t>
  </si>
  <si>
    <t>2199	ISO 9002 -  com certificado -  nota audit&gt;99</t>
  </si>
  <si>
    <t>100 XX Fornecedor-centro de distrib.</t>
  </si>
  <si>
    <t>710301 EXTRACAO DE MINERIO DE FERRO</t>
  </si>
  <si>
    <t>1104 - Autarquia Federal</t>
  </si>
  <si>
    <t>BR-H-2-DARF - Sem código de barras</t>
  </si>
  <si>
    <t>2101010001 - DUPLICATAS A PAGAR - SERVICOS</t>
  </si>
  <si>
    <t>8 - Cost center</t>
  </si>
  <si>
    <t>E3 - C-estrang. - C-estrangeiro</t>
  </si>
  <si>
    <t>9 - Rendimentos conf.intermediário qualificado isento imposto</t>
  </si>
  <si>
    <t>9 - pagável em 3 prestações</t>
  </si>
  <si>
    <t>0005 - 	pagamento imediato s/desconto</t>
  </si>
  <si>
    <t>I - INSS - GPS</t>
  </si>
  <si>
    <t>IT001 -  BR - 	34170066</t>
  </si>
  <si>
    <t>V - Compensação de pgto.</t>
  </si>
  <si>
    <t>AOA - Cuanza angolano</t>
  </si>
  <si>
    <t>DES - Entregue no navio</t>
  </si>
  <si>
    <t>BE - 7 - Sistemas de transporte dedicados</t>
  </si>
  <si>
    <t>9 - Osni - 11 2626-4461</t>
  </si>
  <si>
    <t>D001 - SEB - RJ - SEG QUINZENAL GRUPO B</t>
  </si>
  <si>
    <t>FM - Fornecedor mercador.</t>
  </si>
  <si>
    <t>FFS0030  é membro da entidade do mutuário</t>
  </si>
  <si>
    <t>D001   	RJ - SEG QUINZENAL GRUPO B</t>
  </si>
  <si>
    <t>9 - Administradora</t>
  </si>
  <si>
    <t>GO- Goiás</t>
  </si>
  <si>
    <t>Endereço particular do colaborador</t>
  </si>
  <si>
    <t>D011 - Centro Logístico</t>
  </si>
  <si>
    <t>9004 - RMR Ressonância Magnética Ltda</t>
  </si>
  <si>
    <t>004 - Banco do Nordeste do Brasil S.A.</t>
  </si>
  <si>
    <t>004</t>
  </si>
  <si>
    <t>Banco Standard de Investimentos S.A.</t>
  </si>
  <si>
    <t>2299	ISO 9002 -  com certificado -  skip</t>
  </si>
  <si>
    <t>CPD 2 Fornecedores CD (atrib.int.nº)</t>
  </si>
  <si>
    <t>810004 EXTRACAO DE CALCARIO E DOLOMITA E BENEFICIAMENTO ASSOCIADO</t>
  </si>
  <si>
    <t>1112 - Autarquia Estadual ou do Distrito Federal</t>
  </si>
  <si>
    <t>BR-I-2-INSS - GPS</t>
  </si>
  <si>
    <t>2101020000 - DUPLICATAS A PAGAR - MERCADORIAS</t>
  </si>
  <si>
    <t>9 - External doc.number</t>
  </si>
  <si>
    <t>E4 - C-assoc. - C-empresas associadas</t>
  </si>
  <si>
    <t>A - Mutuante títulos para dividendos de substituição</t>
  </si>
  <si>
    <t>F000 - ANTECIPADO</t>
  </si>
  <si>
    <t xml:space="preserve">	Data básica em 10 do mês seguinte</t>
  </si>
  <si>
    <t>J - Crédito em poupança</t>
  </si>
  <si>
    <t>IT002 -  BR - 	34170910</t>
  </si>
  <si>
    <t>W - Aguardando Workflow</t>
  </si>
  <si>
    <t>AON - Novo cuanza angolano (antigo)</t>
  </si>
  <si>
    <t>EXW - Na fábrica</t>
  </si>
  <si>
    <t>BE - 5 - Tráfego postal</t>
  </si>
  <si>
    <t>10 - Peterson - 11-2626-4601</t>
  </si>
  <si>
    <t>D001 - SES - RJ - SEG SEMANAL</t>
  </si>
  <si>
    <t>FR - Funcion.responsável</t>
  </si>
  <si>
    <t>TBUR002  é parceiro de contato p/</t>
  </si>
  <si>
    <t>D001   	RJ - SEG SEMANAL</t>
  </si>
  <si>
    <t>10 - Coop. Odont.</t>
  </si>
  <si>
    <t>MA-Maranhão</t>
  </si>
  <si>
    <t>Endereço recebedor fatura</t>
  </si>
  <si>
    <t>D012 - Operadoras de Saúde</t>
  </si>
  <si>
    <t>9005 - Pesmed – Pesquisas e Serviços</t>
  </si>
  <si>
    <t>012 - Banco Standard de Investimentos S.A.</t>
  </si>
  <si>
    <t>012</t>
  </si>
  <si>
    <t>Natixis Brasil S.A. Banco Múltiplo</t>
  </si>
  <si>
    <t>3080	ISO 9003 -  sem certificado -  nota audit&gt;80</t>
  </si>
  <si>
    <t>CPDL XX Fornecedores CD (atrib.ext.nº)</t>
  </si>
  <si>
    <t>810099 EXTRACAO E BRITAMENTO DE PEDRAS E OUTROS MATERIAIS PARA CONSTRUCAO E B</t>
  </si>
  <si>
    <t>1120 - Autarquia Municipal</t>
  </si>
  <si>
    <t>BR-J-1-Credito em Poupança Bradesco</t>
  </si>
  <si>
    <t>2101020001 - DUPLICATAS A PAGAR - SERVICOS</t>
  </si>
  <si>
    <t>10 - Purchase order no.</t>
  </si>
  <si>
    <t>E5 - C-risco - C-alto risco</t>
  </si>
  <si>
    <t>F001 - À VISTA</t>
  </si>
  <si>
    <t>0006 - 	até ao dia Fim do mês 4 % desconto</t>
  </si>
  <si>
    <t>M - Demais tributos - pagto manual</t>
  </si>
  <si>
    <t>IT003 -  BR - 	34170725</t>
  </si>
  <si>
    <t>X - RE-FX-Coordenador</t>
  </si>
  <si>
    <t>AOR - Cuanza angolano reajustado (antigo)</t>
  </si>
  <si>
    <t>FAS - Posto ao lado do navio</t>
  </si>
  <si>
    <t>BE - 4 - Transporte aéreo</t>
  </si>
  <si>
    <t>11 - Sidinei - 11 976536625</t>
  </si>
  <si>
    <t>D001 - SXA - RJ - SEX QUINZENAL GRUPO A</t>
  </si>
  <si>
    <t xml:space="preserve">TFSB002  é sociedade matriz de </t>
  </si>
  <si>
    <t>D001   	RJ - SEX QUINZENAL GRUPO A</t>
  </si>
  <si>
    <t>11 - Odont. de Grupo</t>
  </si>
  <si>
    <t>MT- Mato Grosso</t>
  </si>
  <si>
    <t>Endereço pessoal</t>
  </si>
  <si>
    <t>D013 - Operadoras de Cartão</t>
  </si>
  <si>
    <t>9006 - Link Consultoria em Medicina D</t>
  </si>
  <si>
    <t>014 - Natixis Brasil S.A. Banco Múltiplo</t>
  </si>
  <si>
    <t>014</t>
  </si>
  <si>
    <t>Banco Azteca do Brasil S.A.</t>
  </si>
  <si>
    <t>3099	ISO 9003 -  sem certificado -  nota audit&gt;99</t>
  </si>
  <si>
    <t>D001 1 Fornecedor Nacional PF</t>
  </si>
  <si>
    <t>910600 ATIVIDADES DE APOIO A EXTRACAO DE PETROLEO E GAS NATURAL</t>
  </si>
  <si>
    <t>1139 - Fundação Federal</t>
  </si>
  <si>
    <t>BR-J-2-Credito em Poupança ( Exceto Bradesco)</t>
  </si>
  <si>
    <t>11 - Plant number</t>
  </si>
  <si>
    <t>E6 - C-importan - C-clientes importantes</t>
  </si>
  <si>
    <t>F002 - 01 DIA DA DATA</t>
  </si>
  <si>
    <t xml:space="preserve">	Até o dia 15 do mês seguinte 2 % desconto</t>
  </si>
  <si>
    <t>N - Pagamento Concessionárias e IPTU</t>
  </si>
  <si>
    <t>ST001 - BR - 	03370451</t>
  </si>
  <si>
    <t>Y - RE-FX-Gerente</t>
  </si>
  <si>
    <t>ARS - Peso argentino</t>
  </si>
  <si>
    <t>FCA - Transportador livre</t>
  </si>
  <si>
    <t>BE - 8 - Transporte em embarcação fluvial</t>
  </si>
  <si>
    <t>12 - Silvana - 11-2626-4473</t>
  </si>
  <si>
    <t>D001 - SXB - RJ - SEX QUINZENAL GRUPO B</t>
  </si>
  <si>
    <t>FFSB001  é sócio de</t>
  </si>
  <si>
    <t>D001   	RJ - SEX QUINZENAL GRUPO B</t>
  </si>
  <si>
    <t>12 - Pesquisa Clínic</t>
  </si>
  <si>
    <t>MS -Mato Grosso do Sul</t>
  </si>
  <si>
    <t>Endereço de envio do fornecedor</t>
  </si>
  <si>
    <t>9007 - A e C Consultores Ltda.</t>
  </si>
  <si>
    <t>019 - Banco Azteca do Brasil S.A.</t>
  </si>
  <si>
    <t>019</t>
  </si>
  <si>
    <t>BANESTES S.A. Banco do Estado do Espírito Santo</t>
  </si>
  <si>
    <t>3180	ISO 9003 -  com certificado -  nota audit&gt;80</t>
  </si>
  <si>
    <t>D002 2 Fornecedor Nacional PJ</t>
  </si>
  <si>
    <t>1011201 FRIGORIFICO - ABATE DE BOVINOS</t>
  </si>
  <si>
    <t>1147 - Fundação Estadual ou do Distrito Federal</t>
  </si>
  <si>
    <t>BR-N-2-Pagamento de Concessionárias</t>
  </si>
  <si>
    <t>12 - Vendor number</t>
  </si>
  <si>
    <t>E7 - C-locação - C-locatário</t>
  </si>
  <si>
    <t>F003 - 15 DIAS DA DATA</t>
  </si>
  <si>
    <t xml:space="preserve">	até ao 15. em 2 meses s/desconto</t>
  </si>
  <si>
    <t>O - Ordem de pagamento</t>
  </si>
  <si>
    <t>ST002 - BR - 	03373689</t>
  </si>
  <si>
    <t>Z - RE-FX-Superintendent</t>
  </si>
  <si>
    <t>ATS - Xelim austríaco  (obsoleto --&gt; EUR)</t>
  </si>
  <si>
    <t>FH - Franco domicílio</t>
  </si>
  <si>
    <t>BE - 2 - Transporte ferroviário</t>
  </si>
  <si>
    <t>13 - Thatyane - 11-2626-4453</t>
  </si>
  <si>
    <t>D001 - SXS - RJ - SEX SEMANAL</t>
  </si>
  <si>
    <t>FFSB002  é subsidiária de</t>
  </si>
  <si>
    <t>D001   	RJ - SEX SEMANAL</t>
  </si>
  <si>
    <t>13 - Empresa</t>
  </si>
  <si>
    <t>MG - Minas Gerais</t>
  </si>
  <si>
    <t>9008 - Amar Administradora de Bens Pr</t>
  </si>
  <si>
    <t>021 - BANESTES S.A. Banco do Estado do Espírito Santo</t>
  </si>
  <si>
    <t>021</t>
  </si>
  <si>
    <t>Banco de Pernambuco S.A.</t>
  </si>
  <si>
    <t>3199	ISO 9003 -  com certificado -  nota audit&gt;99</t>
  </si>
  <si>
    <t>D003 3 Colaboradores</t>
  </si>
  <si>
    <t>1012101 ABATE DE AVES</t>
  </si>
  <si>
    <t>1155 - Fundação Municipal</t>
  </si>
  <si>
    <t>BR-O-1-Ordem de Pagamento Bradesco</t>
  </si>
  <si>
    <t>14 - Purchase order</t>
  </si>
  <si>
    <t>E8 - C-amortiz. - C-amortizaç.emprestms.conced.</t>
  </si>
  <si>
    <t>F004 - 20 DIAS DA DATA</t>
  </si>
  <si>
    <t>0007 - 	Após entrada de fatura até ao dia 15 do mês</t>
  </si>
  <si>
    <t>T - TED</t>
  </si>
  <si>
    <t>VOT01 - BR - 	65560001</t>
  </si>
  <si>
    <t>AUD - Dólar australiano</t>
  </si>
  <si>
    <t>FOB - Franco a bordo</t>
  </si>
  <si>
    <t>BE - 1 - Transporte marítimo</t>
  </si>
  <si>
    <t>14 - Katia - 11-2626-4494</t>
  </si>
  <si>
    <t>D001 - TEA - RJ - TER QUINZENAL GRUPO A</t>
  </si>
  <si>
    <t>TUKMSBG está no grupo de responsáveis p/crédito</t>
  </si>
  <si>
    <t>D001   	RJ - TER QUINZENAL GRUPO A</t>
  </si>
  <si>
    <t xml:space="preserve">99 - </t>
  </si>
  <si>
    <t>PA - Pará</t>
  </si>
  <si>
    <t>9009 - César Antonio Biazio Sanches</t>
  </si>
  <si>
    <t>024 - Banco de Pernambuco S.A. - BANDEPE</t>
  </si>
  <si>
    <t>024</t>
  </si>
  <si>
    <t>Banco Alfa S.A.</t>
  </si>
  <si>
    <t>3299	ISO 9003 -  com certificado -  skip</t>
  </si>
  <si>
    <t>D004 4 Fornecedor Estrangeiro</t>
  </si>
  <si>
    <t>1013901 FABRICACAO DE PRODUTOS DE CARNE</t>
  </si>
  <si>
    <t>1163 - Órgão Público Autônomo Federal</t>
  </si>
  <si>
    <t>BR-O-2-Ordem de Pagamento Febraban ( exceto Bradesco)</t>
  </si>
  <si>
    <t>15 - Personnel number</t>
  </si>
  <si>
    <t>F005 - 25 DIAS DA DATA</t>
  </si>
  <si>
    <t>U - TRansferência entre contas</t>
  </si>
  <si>
    <t>AWG - Florim arubano</t>
  </si>
  <si>
    <t>UN - Porte/frete a pagar</t>
  </si>
  <si>
    <t>BE - 3 - Transporte rodoviário</t>
  </si>
  <si>
    <t>15 - Mayara - 11-2626-4806</t>
  </si>
  <si>
    <t>D001 - TEB - RJ - TER QUINZENAL GRUPO B</t>
  </si>
  <si>
    <t>FIHS001  possui endereço médico</t>
  </si>
  <si>
    <t>D001   	RJ - TER QUINZENAL GRUPO B</t>
  </si>
  <si>
    <t>PB - Paraíba</t>
  </si>
  <si>
    <t>9010 - ECRD – Serviços Médicos de Rad</t>
  </si>
  <si>
    <t>025 - Banco Alfa S.A.</t>
  </si>
  <si>
    <t>025</t>
  </si>
  <si>
    <t>Banco Banerj S.A.</t>
  </si>
  <si>
    <t>D005 5 Órgãos Públicos</t>
  </si>
  <si>
    <t>1031700 FABRICACAO DE CONSERVAS DE FRUTAS</t>
  </si>
  <si>
    <t>1171 - Órgão Público Autônomo Estadual ou do Distrito Federal</t>
  </si>
  <si>
    <t>BR-T-1-TED Bradesco</t>
  </si>
  <si>
    <t>16 - Settlement period</t>
  </si>
  <si>
    <t>F006 - 30 DIAS DA DATA</t>
  </si>
  <si>
    <t xml:space="preserve">	Até o dia Fim do mês seguinte s/desconto</t>
  </si>
  <si>
    <t>V  IPVA / DPVAT</t>
  </si>
  <si>
    <t>AZM - Manat azerbaidjano (antigo)</t>
  </si>
  <si>
    <t>CZ - 9 - Indústria automotiva</t>
  </si>
  <si>
    <t>16 - Daniela - 11 997693344</t>
  </si>
  <si>
    <t>D001 - TES - RJ - TER SEMANAL</t>
  </si>
  <si>
    <t>TUKMSB0 responsável na adm de crédito</t>
  </si>
  <si>
    <t>D001   	RJ - TER SEMANAL</t>
  </si>
  <si>
    <t>PR - Paraná</t>
  </si>
  <si>
    <t>9012 - AMIL ASSISTENCIA M. INTERNACIO</t>
  </si>
  <si>
    <t>029 - Banco Banerj S.A.</t>
  </si>
  <si>
    <t>029</t>
  </si>
  <si>
    <t>Banco Beg S.A.</t>
  </si>
  <si>
    <t>D007 6 Serviços Médicos</t>
  </si>
  <si>
    <t>1033302 FABRICACAO DE SUCOS DE FRUTAS  HORTALICAS E LEGUMES  EXCETO CONCENTRAD</t>
  </si>
  <si>
    <t>1180 - Órgão Público Autônomo Municipal</t>
  </si>
  <si>
    <t>BR-T-2-TED Febraban ( Exceto Bradesco)</t>
  </si>
  <si>
    <t>17 - Settl.per., pers.no.</t>
  </si>
  <si>
    <t>F007 - 31 DIAS DA DATA</t>
  </si>
  <si>
    <t xml:space="preserve">	Após entrada de fatura até ao dia Fim  do mês</t>
  </si>
  <si>
    <t>A - Crédito em conta</t>
  </si>
  <si>
    <t>AZN - Manat azerbaidjano</t>
  </si>
  <si>
    <t>CZ - 7 - Sistemas de transporte dedicados</t>
  </si>
  <si>
    <t>17 - Rafael Vicente - 11 997693344</t>
  </si>
  <si>
    <t>D002 - DIA - DIARIO</t>
  </si>
  <si>
    <t>FBUR013  será substituído por</t>
  </si>
  <si>
    <t>D002   DIA DIARIO</t>
  </si>
  <si>
    <t>PE - Pernambuco</t>
  </si>
  <si>
    <t>9013 - AMIL ASSISTENCIA MEDICA INTERN</t>
  </si>
  <si>
    <t>031 - Banco Beg S.A.</t>
  </si>
  <si>
    <t>031</t>
  </si>
  <si>
    <t>D008 7 Aluguéis PF</t>
  </si>
  <si>
    <t>1052000 FABRICACAO DE LATICINIOS</t>
  </si>
  <si>
    <t>1198 - Comissão Polinacional</t>
  </si>
  <si>
    <t>BR-U-1-Transferencia Bradesco</t>
  </si>
  <si>
    <t>18 - Asset number</t>
  </si>
  <si>
    <t>F008 - 35 DIAS DA DATA</t>
  </si>
  <si>
    <t xml:space="preserve">	Até o dia Fim do mês seguinte 2 % desconto</t>
  </si>
  <si>
    <t>BAM - Marco conversível da Bósnia-Herzegovina</t>
  </si>
  <si>
    <t>CZ - 5 - Tráfego postal</t>
  </si>
  <si>
    <t>18 - Debora - 11-2626-4630</t>
  </si>
  <si>
    <t>D002 - QAA - RJ - QUA QUINZENAL GRUPO A</t>
  </si>
  <si>
    <t>TBUR013  substitui</t>
  </si>
  <si>
    <t>D002   	RJ - QUA QUINZENAL GRUPO A</t>
  </si>
  <si>
    <t>PI - Piauí</t>
  </si>
  <si>
    <t>9014 - Soldiers Field Serviços Admini</t>
  </si>
  <si>
    <t>Banco Bradesco BBI S.A.</t>
  </si>
  <si>
    <t>D009 15 Aluguéis PJ</t>
  </si>
  <si>
    <t>1053800 FABRICACAO DE SORVETES E OUTROS GELADOS COMESTIVEIS</t>
  </si>
  <si>
    <t>1201 - Fundo Público</t>
  </si>
  <si>
    <t>BR-U-2-Transferencia Febraban ( Exceto Bradesco)</t>
  </si>
  <si>
    <t>21 - Segment text</t>
  </si>
  <si>
    <t>F009 - 28 / 45 DIAS DA DATA</t>
  </si>
  <si>
    <t>BBD - Dólar de Barbados</t>
  </si>
  <si>
    <t>CZ - 4 - Transporte aéreo</t>
  </si>
  <si>
    <t>19 - Laila - 11-2626-2812</t>
  </si>
  <si>
    <t>D002 - QAB - RJ - QUA QUINZENAL GRUPO B</t>
  </si>
  <si>
    <t>FBUR001  tem a pessoa de contato</t>
  </si>
  <si>
    <t>D002   	RJ - QUA QUINZENAL GRUPO B</t>
  </si>
  <si>
    <t>RJ - Rio de Janeiro</t>
  </si>
  <si>
    <t>9015 - HOSPITAL SANTA PAULA S/A - STA</t>
  </si>
  <si>
    <t>036 - Banco Bradesco BBI S.A.</t>
  </si>
  <si>
    <t>036</t>
  </si>
  <si>
    <t>Banco do Estado do Pará S.A.</t>
  </si>
  <si>
    <t>D010 8 Instituições Financeiras</t>
  </si>
  <si>
    <t>1062700 MOAGEM DE TRIGO E FABRICACAO DE DERIVADOS</t>
  </si>
  <si>
    <t>1210 - Associação Pública</t>
  </si>
  <si>
    <t>BR-V-1-IPVA/DPVAT</t>
  </si>
  <si>
    <t>22 - One-time name / city</t>
  </si>
  <si>
    <t>F010 - 30 / 60 DIAS DA DATA</t>
  </si>
  <si>
    <t>0008 - 	Após entrada de fatura até ao dia 15 do mês</t>
  </si>
  <si>
    <t>BDT - Taca - Bangladesh</t>
  </si>
  <si>
    <t>CZ - 8 - Transporte em embarcação fluvial</t>
  </si>
  <si>
    <t>20 - Giovanna - 11-2626-2313</t>
  </si>
  <si>
    <t>D002 - QAS - RJ - QUA SEMANAL</t>
  </si>
  <si>
    <t>FBUR020  tem como departamento</t>
  </si>
  <si>
    <t>D002   	RJ - QUA SEMANAL</t>
  </si>
  <si>
    <t>RN- Rio Grande do Norte</t>
  </si>
  <si>
    <t>9016 - HOSPITAL 9 DE JULHO S A - AM9J</t>
  </si>
  <si>
    <t>037 - Banco do Estado do Pará S.A.</t>
  </si>
  <si>
    <t>037</t>
  </si>
  <si>
    <t>Banco do Estado do Piauí S.A.</t>
  </si>
  <si>
    <t>D011 XX Centros Logísticos</t>
  </si>
  <si>
    <t>1065101 FABRICACAO DE AMIDOS E FECULAS DE VEGETAIS</t>
  </si>
  <si>
    <t>2011 - Empresa Pública</t>
  </si>
  <si>
    <t>BR-V-2-IPVA/DPVAT</t>
  </si>
  <si>
    <t>23 - One-time city / name</t>
  </si>
  <si>
    <t>F011 - 30 / 45 DIAS DA DATA</t>
  </si>
  <si>
    <t xml:space="preserve">	dentro de 14 dias 2 % desconto</t>
  </si>
  <si>
    <t>BEF - Franco belga  (obsoleto --&gt; EUR)</t>
  </si>
  <si>
    <t>CZ - 2 - Transporte ferroviário</t>
  </si>
  <si>
    <t>21 - Felipe - 11-2626-4956</t>
  </si>
  <si>
    <t>D002 - QUA - RJ - QUI QUINZENAL GRUPO A</t>
  </si>
  <si>
    <t>FBUR025  tem fornecedor de serviços</t>
  </si>
  <si>
    <t>D002   	RJ - QUI QUINZENAL GRUPO A</t>
  </si>
  <si>
    <t>RS - Rio Grande do Sul</t>
  </si>
  <si>
    <t>9017 - PRESLAF - EMPRESA DE SERVICOS</t>
  </si>
  <si>
    <t>039 - Banco do Estado do Piauí S.A. - BEP</t>
  </si>
  <si>
    <t>039</t>
  </si>
  <si>
    <t>Banco Cargill S.A.</t>
  </si>
  <si>
    <t>D012 9 Operadoras de Saúde</t>
  </si>
  <si>
    <t>1066000 FABRICACAO DE ALIMENTOS PARA ANIMAIS</t>
  </si>
  <si>
    <t>2038 - Sociedade de Economia Mista</t>
  </si>
  <si>
    <t>24 - Document header text</t>
  </si>
  <si>
    <t>F012 - 28 / 35 / 42 DIAS DA DATA</t>
  </si>
  <si>
    <t xml:space="preserve">	dentro de 30 dias 1-  5% desconto</t>
  </si>
  <si>
    <t>BGN - Lev - Bulgária</t>
  </si>
  <si>
    <t>CZ - 3 - Transporte rodoviário</t>
  </si>
  <si>
    <t>22 - Fabio - 11-2626-2812</t>
  </si>
  <si>
    <t>D002 - QUB - RJ - QUI QUINZENAL GRUPO B</t>
  </si>
  <si>
    <t>TBURC01  tem o acionista</t>
  </si>
  <si>
    <t>D002   	RJ - QUI QUINZENAL GRUPO B</t>
  </si>
  <si>
    <t>RO- Rondônia</t>
  </si>
  <si>
    <t>9018 - PRESLAF - EMPRESA DE SERVICOS</t>
  </si>
  <si>
    <t>040 - Banco Cargill S.A.</t>
  </si>
  <si>
    <t>040</t>
  </si>
  <si>
    <t>Banco do Estado do Rio Grande do Sul S.A.</t>
  </si>
  <si>
    <t>DARL 1 Mutuante</t>
  </si>
  <si>
    <t>1081302 TORREFACAO E MOAGEM DE CAFE</t>
  </si>
  <si>
    <t>2046 - Sociedade Anônima Aberta</t>
  </si>
  <si>
    <t>25 - CPU date</t>
  </si>
  <si>
    <t>F013 - 21 DIAS DA DATA</t>
  </si>
  <si>
    <t xml:space="preserve">	dentro de 45 dias s/desconto</t>
  </si>
  <si>
    <t>BHD - Dinar - Barein</t>
  </si>
  <si>
    <t>DE - 9 - Indústria automotiva</t>
  </si>
  <si>
    <t>23 - Thiago - 11-2626-4956</t>
  </si>
  <si>
    <t>D002 - QUS - RJ - QUI SEMANAL</t>
  </si>
  <si>
    <t>FBUR010  tem o empregado</t>
  </si>
  <si>
    <t>D002   	RJ - QUI SEMANAL</t>
  </si>
  <si>
    <t>RR - Roraima</t>
  </si>
  <si>
    <t>9019 - HOSPITAL DE CLINICAS DE NITERO</t>
  </si>
  <si>
    <t>041 - Banco do Estado do Rio Grande do Sul S.A.</t>
  </si>
  <si>
    <t>041</t>
  </si>
  <si>
    <t>Banco BVA S.A.</t>
  </si>
  <si>
    <t>HOL  Endereço local transferência</t>
  </si>
  <si>
    <t>1091101 FABRICACAO DE PRODUTOS DE PANIFICACAO INDUSTRIAL</t>
  </si>
  <si>
    <t>2054 - Sociedade Anônima Fechada</t>
  </si>
  <si>
    <t>26 - Pmnt per.bslne date</t>
  </si>
  <si>
    <t>F014 - 60 DIAS DA DATA</t>
  </si>
  <si>
    <t xml:space="preserve">	Data básica em 30 do mês</t>
  </si>
  <si>
    <t>BIF - Franco do Burundi</t>
  </si>
  <si>
    <t>DE - 7 - Sistemas de transporte dedicados</t>
  </si>
  <si>
    <t>24 - Jonathan - 11-2626-4751</t>
  </si>
  <si>
    <t>D002 - SEA - RJ - SEG QUINZENAL GRUPO A</t>
  </si>
  <si>
    <t>FBUR011  tem o empregado responsável</t>
  </si>
  <si>
    <t>D002   	RJ - SEG QUINZENAL GRUPO A</t>
  </si>
  <si>
    <t>SC - Santa Catarina</t>
  </si>
  <si>
    <t>9020 - HEMOLAD SERV HEMOTERAPIA E HEM</t>
  </si>
  <si>
    <t>044 - Banco BVA S.A.</t>
  </si>
  <si>
    <t>044</t>
  </si>
  <si>
    <t>Banco Opportunity S.A.</t>
  </si>
  <si>
    <t>KRED 2 Fornecedores (atrib.int.nº)</t>
  </si>
  <si>
    <t>1091102 FABRICACAO DE PRODUTOS DE PADARIA E CONFEITARIA COM PREDOMINANCIA DE P</t>
  </si>
  <si>
    <t>2062 - Sociedade Empresária Limitada</t>
  </si>
  <si>
    <t>27 - Value date</t>
  </si>
  <si>
    <t>F015 - 35 / 65 / 95 DIAS DA DATA</t>
  </si>
  <si>
    <t>BMD - Dólar das Bermudas</t>
  </si>
  <si>
    <t>DE - 5 - Tráfego postal</t>
  </si>
  <si>
    <t>25 - Denise - 11-2626-9567</t>
  </si>
  <si>
    <t>D002 - SEB - RJ - SEG QUINZENAL GRUPO B</t>
  </si>
  <si>
    <t>FHEA020  tem o funcionário do hospital</t>
  </si>
  <si>
    <t>D002   	RJ - SEG QUINZENAL GRUPO B</t>
  </si>
  <si>
    <t>SP - São Paulo</t>
  </si>
  <si>
    <t>9021 - LAF - EMPRESA DE SERV HOSPITAL</t>
  </si>
  <si>
    <t>045 - Banco Opportunity S.A.</t>
  </si>
  <si>
    <t>045</t>
  </si>
  <si>
    <t>Banco do Estado de Sergipe S.A.</t>
  </si>
  <si>
    <t>LIEF XX Fornecedores (atrib.ext.nº)</t>
  </si>
  <si>
    <t>1092900 FABRICACAO DE BISCOITOS E BOLACHAS</t>
  </si>
  <si>
    <t>2070 - Sociedade Empresária em Nome Coletivo</t>
  </si>
  <si>
    <t>28 - Asset number</t>
  </si>
  <si>
    <t>F016 - 35 / 45 / 65 DIAS DA DATA</t>
  </si>
  <si>
    <t>BND - Dólar do Brunei</t>
  </si>
  <si>
    <t>DE - 4 - Transporte aéreo</t>
  </si>
  <si>
    <t>26 - Adriana - 11-2626-9567</t>
  </si>
  <si>
    <t>D002 - SES - RJ - SEG SEMANAL</t>
  </si>
  <si>
    <t>FHEA010  tem o funcionário do hospital</t>
  </si>
  <si>
    <t>D002   	RJ - SEG SEMANAL</t>
  </si>
  <si>
    <t>SE - Sergipe</t>
  </si>
  <si>
    <t>9022 - HOSPITAL ALVORADA TAGUATINGA L</t>
  </si>
  <si>
    <t>047 - Banco do Estado de Sergipe S.A.</t>
  </si>
  <si>
    <t>047</t>
  </si>
  <si>
    <t>Hipercard Banco Múltiplo S.A.</t>
  </si>
  <si>
    <t>MNFR XX Fabricante (atrib.externa nºs)</t>
  </si>
  <si>
    <t>1093701 FABRICACAO DE PRODUTOS DERIVADOS DO CACAU E DE CHOCOLATES</t>
  </si>
  <si>
    <t>2089 - Sociedade Empresária em Comandita Simples</t>
  </si>
  <si>
    <t>29 - Pstng month, vendor</t>
  </si>
  <si>
    <t>F017 - 30 / 60 / 90 DIAS DA DATA</t>
  </si>
  <si>
    <t>BOB - Peso boliviano</t>
  </si>
  <si>
    <t>DE - 8 - Transporte em embarcação fluvial</t>
  </si>
  <si>
    <t>27 - Manoel - 21-992009787</t>
  </si>
  <si>
    <t>D002 - SXA - RJ - SEX QUINZENAL GRUPO A</t>
  </si>
  <si>
    <t>TFSB001  tem o sócio</t>
  </si>
  <si>
    <t>D002   	RJ - SEX QUINZENAL GRUPO A</t>
  </si>
  <si>
    <t>TO - Tocantins</t>
  </si>
  <si>
    <t>9023 - HOSPITAL ALVORADA TAGUATINGA L</t>
  </si>
  <si>
    <t>062 - Hipercard Banco Múltiplo S.A.</t>
  </si>
  <si>
    <t>062</t>
  </si>
  <si>
    <t>Banco Ibi S.A. Banco Múltiplo</t>
  </si>
  <si>
    <t>REIS 1 Viajante comercial</t>
  </si>
  <si>
    <t>1094500 FABRICACAO DE MASSAS ALIMENTICIAS</t>
  </si>
  <si>
    <t>2097 - Sociedade Empresária em Comandita por Ações</t>
  </si>
  <si>
    <t>31 - Customer number</t>
  </si>
  <si>
    <t>F018 - 45 DIAS DA DATA</t>
  </si>
  <si>
    <t>DE - 2 - Transporte ferrov.</t>
  </si>
  <si>
    <t>28 - Joao Ruppel - 41 3282-8880</t>
  </si>
  <si>
    <t>D002 - SXB - RJ - SEX QUINZENAL GRUPO B</t>
  </si>
  <si>
    <t>FBUR002  tem o parceiro de contato</t>
  </si>
  <si>
    <t>D002   	RJ - SEX QUINZENAL GRUPO B</t>
  </si>
  <si>
    <t/>
  </si>
  <si>
    <t>9024 - HOSPITAL ALVORADA TAGUATINGA L</t>
  </si>
  <si>
    <t>063 - Banco Ibi S.A. Banco Múltiplo</t>
  </si>
  <si>
    <t>063</t>
  </si>
  <si>
    <t>Goldman Sachs do Brasil Banco Múltiplo S.A.</t>
  </si>
  <si>
    <t>VERT 1 Representante</t>
  </si>
  <si>
    <t>1096100 FABRICACAO DE ALIMENTOS E PRATOS PRONTOS</t>
  </si>
  <si>
    <t>2127 - Sociedade em Conta de Participação</t>
  </si>
  <si>
    <t>32 - Pstng yr,month,curr.</t>
  </si>
  <si>
    <t>F019 - 10 DIAS DA DATA</t>
  </si>
  <si>
    <t xml:space="preserve">	Data básica em 15 do mês seguinte</t>
  </si>
  <si>
    <t>BSD - Dólar das Bahamas</t>
  </si>
  <si>
    <t>DE - 1 - Transporte marítimo</t>
  </si>
  <si>
    <t>29 - Claudilene - 81-3416-9927</t>
  </si>
  <si>
    <t>D002 - SXS - RJ - SEX SEMANAL</t>
  </si>
  <si>
    <t>FUDM001  tem pessoa de contato collection</t>
  </si>
  <si>
    <t>D002   	RJ - SEX SEMANAL</t>
  </si>
  <si>
    <t>9025 - AMICO SAUDE LTDA - HOSP VMARIA</t>
  </si>
  <si>
    <t>064 - Goldman Sachs do Brasil Banco Múltiplo S.A.</t>
  </si>
  <si>
    <t>064</t>
  </si>
  <si>
    <t>Banco Bracce S.A.</t>
  </si>
  <si>
    <t>1099604 FABRICACAO DE GELO COMUM</t>
  </si>
  <si>
    <t>2135 - Empresário (Individual)</t>
  </si>
  <si>
    <t>33 - Cost center</t>
  </si>
  <si>
    <t>F020 - 20 DIAS DA DATA</t>
  </si>
  <si>
    <t>0009 - 	pagável em 3 prestações</t>
  </si>
  <si>
    <t>BTN - Ngultrum - Butão</t>
  </si>
  <si>
    <t>DE - 3 - Transporte rodoviár.</t>
  </si>
  <si>
    <t>30 - Marcio - 61 9131-7138</t>
  </si>
  <si>
    <t>D002 - TEA - RJ - TER QUINZENAL GRUPO A</t>
  </si>
  <si>
    <t>D002   	RJ - TER QUINZENAL GRUPO A</t>
  </si>
  <si>
    <t>9026 - AMICO SAUDE LTDA - H CAIEIRAS</t>
  </si>
  <si>
    <t>065 - Banco Bracce S.A.</t>
  </si>
  <si>
    <t>065</t>
  </si>
  <si>
    <t>Banco Morgan Stanley S.A.</t>
  </si>
  <si>
    <t>1099605 FABRICACAO DE PRODUTOS PARA INFUSAO  CHA  MATE  ETC.</t>
  </si>
  <si>
    <t>2143 - Cooperativa</t>
  </si>
  <si>
    <t>34 - Month, cost center</t>
  </si>
  <si>
    <t>F021 - 28 / 40 DIAS DA DATA</t>
  </si>
  <si>
    <t xml:space="preserve">	1ª prest.: 30   -   000 % c/cond.pgto.0001</t>
  </si>
  <si>
    <t>BWP - Pula - Botsuana</t>
  </si>
  <si>
    <t>ES - 9 - Indústria automotiva</t>
  </si>
  <si>
    <t>31 - Marco Aurelio - 21 3672-9330</t>
  </si>
  <si>
    <t>D002 - TEB - RJ - TER QUINZENAL GRUPO B</t>
  </si>
  <si>
    <t>D002   	RJ - TER QUINZENAL GRUPO B</t>
  </si>
  <si>
    <t>9027 - HOSP E MAT IPIRANGA D MOGI 1</t>
  </si>
  <si>
    <t>066 - Banco Morgan Stanley S.A.</t>
  </si>
  <si>
    <t>066</t>
  </si>
  <si>
    <t>BPN Brasil Banco Múltiplo S.A.</t>
  </si>
  <si>
    <t>1099699 FABRICACAO DE OUTROS PRODUTOS ALIMENTICIOS NAO ESPECIFICADOS ANTERIORM</t>
  </si>
  <si>
    <t>2151 - Consórcio de Sociedades</t>
  </si>
  <si>
    <t>35 - Contract number</t>
  </si>
  <si>
    <t>F022 - 95 DIAS DA DATA</t>
  </si>
  <si>
    <t xml:space="preserve">	2ª prest.: 40   -   000 % c/cond.pgto.0001</t>
  </si>
  <si>
    <t>BYB - Rublo bielo-russo (antigo)</t>
  </si>
  <si>
    <t>ES - 7 - Sistemas de transporte dedicados</t>
  </si>
  <si>
    <t>32 - Sibelly - 11 996635468</t>
  </si>
  <si>
    <t>D002 - TES - RJ - TER SEMANAL</t>
  </si>
  <si>
    <t>D002   	RJ - TER SEMANAL</t>
  </si>
  <si>
    <t>9028 - HOSP E MAT IPIRANGA D MOGI 2</t>
  </si>
  <si>
    <t>069 - BPN Brasil Banco Múltiplo S.A.</t>
  </si>
  <si>
    <t>069</t>
  </si>
  <si>
    <t>BRB</t>
  </si>
  <si>
    <t>1111901 FABRICACAO DE AGUARDENTE DE CANA-DE-ACUCAR</t>
  </si>
  <si>
    <t>2160 - Grupo de Sociedades</t>
  </si>
  <si>
    <t>36 - Order</t>
  </si>
  <si>
    <t xml:space="preserve">F023    42 DIAS DA DATA - </t>
  </si>
  <si>
    <t xml:space="preserve">	3ª prest.: 30   -   000 % c/cond.pgto.0001</t>
  </si>
  <si>
    <t>BYR - Rublo bielo-russo</t>
  </si>
  <si>
    <t>ES - 5 - Tráfego postal</t>
  </si>
  <si>
    <t xml:space="preserve">33 - PRODUÇAO INTERNA </t>
  </si>
  <si>
    <t>D003 - DIA - DIARIO</t>
  </si>
  <si>
    <t>D003   DIA DIARIO</t>
  </si>
  <si>
    <t>9029 - HOSPITAL ALVORADA TAGUATINGA L</t>
  </si>
  <si>
    <t>070 - BRB - Banco de Brasília S.A.</t>
  </si>
  <si>
    <t>070</t>
  </si>
  <si>
    <t>Banco Rural Mais S.A.</t>
  </si>
  <si>
    <t>1111902 FABRICACAO DE OUTRAS AGUARDENTES E BEBIDAS DESTILADAS</t>
  </si>
  <si>
    <t>2178 - Estabelecimento, no Brasil, de Sociedade Estrangeira</t>
  </si>
  <si>
    <t>37 - Currency key</t>
  </si>
  <si>
    <t>F024 - 28 / 56 DIAS</t>
  </si>
  <si>
    <t>F000 - 	ANTECIPADO</t>
  </si>
  <si>
    <t>BZD - Dólar de Belize</t>
  </si>
  <si>
    <t>ES - 4 - Transporte aéreo</t>
  </si>
  <si>
    <t xml:space="preserve">34 - EXAMES TERCEIROS </t>
  </si>
  <si>
    <t>D003 - QAA - RJ - QUA QUINZENAL GRUPO A</t>
  </si>
  <si>
    <t>D003   	RJ - QUA QUINZENAL GRUPO A</t>
  </si>
  <si>
    <t>9030 - HOSPITAL E MATERNIDADE MOGI D'</t>
  </si>
  <si>
    <t>072 - Banco Rural Mais S.A.</t>
  </si>
  <si>
    <t>072</t>
  </si>
  <si>
    <t>BB Banco Popular do Brasil S.A.</t>
  </si>
  <si>
    <t>1112700 FABRICACAO DE VINHO</t>
  </si>
  <si>
    <t>2194 - Estabelecimento, no Brasil, de Empresa Binacional Argentino-Brasileira</t>
  </si>
  <si>
    <t>39 - Project number</t>
  </si>
  <si>
    <t>F025 - 28 / 56 / 84 DIAS DA DATA</t>
  </si>
  <si>
    <t>F001 - 	À VISTA</t>
  </si>
  <si>
    <t>CAD - Dólar canadense</t>
  </si>
  <si>
    <t>ES - 8 - Transporte em embarcação fluvial</t>
  </si>
  <si>
    <t xml:space="preserve">35 - Juridico </t>
  </si>
  <si>
    <t>D003 - QAB - RJ - QUA QUINZENAL GRUPO B</t>
  </si>
  <si>
    <t>D003   	RJ - QUA QUINZENAL GRUPO B</t>
  </si>
  <si>
    <t>9031 - HOSPITAL ALVORADA TAGUATINGA L</t>
  </si>
  <si>
    <t>073 - BB Banco Popular do Brasil S.A.</t>
  </si>
  <si>
    <t>073</t>
  </si>
  <si>
    <t>Banco J. Safra S.A.</t>
  </si>
  <si>
    <t>1113502 FABRICACAO DE CERVEJAS E CHOPES</t>
  </si>
  <si>
    <t>2216 - Empresa Domiciliada no Exterior</t>
  </si>
  <si>
    <t>55 - Fiscal year, month</t>
  </si>
  <si>
    <t>F028 - 28 DIAS DA DATA</t>
  </si>
  <si>
    <t>F002 - 	01 DIA DA DATA</t>
  </si>
  <si>
    <t>CDF - Franco do Congo</t>
  </si>
  <si>
    <t>ES - 2 - Transporte ferrov.</t>
  </si>
  <si>
    <t xml:space="preserve">36 - Licenciamento </t>
  </si>
  <si>
    <t>D003 - QAS - RJ - QUA SEMANAL</t>
  </si>
  <si>
    <t>D003   	RJ - QUA SEMANAL</t>
  </si>
  <si>
    <t>9032 - AMICO SAUDE LTDA - H METROLITA</t>
  </si>
  <si>
    <t>074 - Banco J. Safra S.A.</t>
  </si>
  <si>
    <t>074</t>
  </si>
  <si>
    <t>Banco CR2 S.A.</t>
  </si>
  <si>
    <t>1121600 FABRICACAO DE AGUAS ENVASADAS</t>
  </si>
  <si>
    <t>2224 - Clube/Fundo de Investimento</t>
  </si>
  <si>
    <t>101 - Cash discnt clearing</t>
  </si>
  <si>
    <t>F029 - ANTECIPAÇÃO</t>
  </si>
  <si>
    <t>F003 - 	15 DIAS DA DATA</t>
  </si>
  <si>
    <t>CFP - Franco francês (ilhas no Pacífico)</t>
  </si>
  <si>
    <t>ES - 1 - Transporte marítimo</t>
  </si>
  <si>
    <t xml:space="preserve">37 - Honorários Medicos </t>
  </si>
  <si>
    <t>D003 - QUA - RJ - QUI QUINZENAL GRUPO A</t>
  </si>
  <si>
    <t>D003   	RJ - QUI QUINZENAL GRUPO A</t>
  </si>
  <si>
    <t>9033 - ESHO EMPRESA SE SERVIÇOS HOSPI</t>
  </si>
  <si>
    <t>075 - Banco CR2 S.A.</t>
  </si>
  <si>
    <t>075</t>
  </si>
  <si>
    <t>Banco KDB S.A.</t>
  </si>
  <si>
    <t>1122401 FABRICACAO DE REFRIGERANTES</t>
  </si>
  <si>
    <t>2232 - Sociedade Simples Pura</t>
  </si>
  <si>
    <t>F030 - 56 DIAS DA DATA</t>
  </si>
  <si>
    <t>F004 - 	20 DIAS DA DATA</t>
  </si>
  <si>
    <t>CHF - Franco suíço</t>
  </si>
  <si>
    <t>ES - 3 - Transporte rodoviár.</t>
  </si>
  <si>
    <t xml:space="preserve">38 - Comissão Represes </t>
  </si>
  <si>
    <t>D003 - QUB - RJ - QUI QUINZENAL GRUPO B</t>
  </si>
  <si>
    <t>D003   	RJ - QUI QUINZENAL GRUPO B</t>
  </si>
  <si>
    <t>9034 - ORION PARTICIPACOES E ADMINIST</t>
  </si>
  <si>
    <t>076 - Banco KDB S.A.</t>
  </si>
  <si>
    <t>076</t>
  </si>
  <si>
    <t>BES Investimento do Brasil S.A.-Banco de Investimento</t>
  </si>
  <si>
    <t>1122403 FABRICACAO DE REFRESCOS  XAROPES E POS PARA REFRESCOS  EXCETO REFRESCO</t>
  </si>
  <si>
    <t>2240 - Sociedade Simples Limitada</t>
  </si>
  <si>
    <t>F032 - 18 DIAS DA DATA</t>
  </si>
  <si>
    <t>F005 - 	25 DIAS DA DATA</t>
  </si>
  <si>
    <t>CLP - Peso chileno</t>
  </si>
  <si>
    <t>FI - 9 - Indústria automotiva (fluvial e aérea)</t>
  </si>
  <si>
    <t>TRF - Transf. Centros</t>
  </si>
  <si>
    <t>D003 - QUS - RJ - QUI SEMANAL</t>
  </si>
  <si>
    <t>D003   	RJ - QUI SEMANAL</t>
  </si>
  <si>
    <t>9035 - ESHO EMP. SERV.HOSP-HVITORIA</t>
  </si>
  <si>
    <t>078 - BES Investimento do Brasil S.A.-Banco de Investimento</t>
  </si>
  <si>
    <t>078</t>
  </si>
  <si>
    <t>JBS Banco S.A.</t>
  </si>
  <si>
    <t>1311100 PREPARACAO E FIACAO DE FIBRAS DE ALGODAO</t>
  </si>
  <si>
    <t>2259 - Sociedade Simples em Nome Coletivo</t>
  </si>
  <si>
    <t>F033 - 28 DIAS FORA MÊS</t>
  </si>
  <si>
    <t>F006 - 	30 DIAS DA DATA</t>
  </si>
  <si>
    <t>CNY - Renminbi - China</t>
  </si>
  <si>
    <t>FI - 7 - Sistemas de transporte dedicados</t>
  </si>
  <si>
    <t>D003 - SEA - RJ - SEG QUINZENAL GRUPO A</t>
  </si>
  <si>
    <t>D003   	RJ - SEG QUINZENAL GRUPO A</t>
  </si>
  <si>
    <t>9036 - CEMED CARE EMPR -CEMED TCA</t>
  </si>
  <si>
    <t>079 - JBS Banco S.A.</t>
  </si>
  <si>
    <t>079</t>
  </si>
  <si>
    <t>Unicred Norte do Paraná</t>
  </si>
  <si>
    <t>1313800 FIACAO DE FIBRAS ARTIFICIAIS E SINTETICAS</t>
  </si>
  <si>
    <t>2267 - Sociedade Simples em Comandita Simples</t>
  </si>
  <si>
    <t>F035 - 90 DIAS DA DATA</t>
  </si>
  <si>
    <t>F007 - 	31 DIAS DA DATA</t>
  </si>
  <si>
    <t>COP - Peso colombiano</t>
  </si>
  <si>
    <t>FI - 5 - Tráfego postal</t>
  </si>
  <si>
    <t>D003 - SEB - RJ - SEG QUINZENAL GRUPO B</t>
  </si>
  <si>
    <t>D003   	RJ - SEG QUINZENAL GRUPO B</t>
  </si>
  <si>
    <t>9037 - CEMED CARE EMP - CEMED-AMARO</t>
  </si>
  <si>
    <t>084 - Unicred Norte do Paraná</t>
  </si>
  <si>
    <t>084</t>
  </si>
  <si>
    <t>Banco BM&amp;F de Serviços de Liquidação e Custódia S.A</t>
  </si>
  <si>
    <t>1321900 TECELAGEM DE FIOS DE ALGODAO</t>
  </si>
  <si>
    <t>2275 - Empresa Binacional</t>
  </si>
  <si>
    <t>F036 - 40 DIAS DA DATA</t>
  </si>
  <si>
    <t>F008 - 	35 DIAS DA DATA</t>
  </si>
  <si>
    <t>CRC - Colón costarriquenho</t>
  </si>
  <si>
    <t>FI - 8 - Transp.embarcação fluvial (canal Saimaa)</t>
  </si>
  <si>
    <t>D003 - SES - RJ - SEG SEMANAL</t>
  </si>
  <si>
    <t>D003   	RJ - SEG SEMANAL</t>
  </si>
  <si>
    <t>9038 - CEMED CARE - EMP-CEMED-BARAO</t>
  </si>
  <si>
    <t>096 - Banco BM&amp;F de Serviços de Liquidação e Custódia S.A</t>
  </si>
  <si>
    <t>096</t>
  </si>
  <si>
    <t>1323500 TECELAGEM DE FIOS DE FIBRAS ARTIFICIAIS E SINTETICAS</t>
  </si>
  <si>
    <t>2283 - Consórcio de Empregadores</t>
  </si>
  <si>
    <t>F037 - 14 DIAS DA DATA</t>
  </si>
  <si>
    <t>F009 - 	28 / 45 DIAS DA DATA</t>
  </si>
  <si>
    <t>CSD - Dinar sérvio (antigo)</t>
  </si>
  <si>
    <t>FI - 1 - Transp.marítimo (c/estrada/trilho ferr.)</t>
  </si>
  <si>
    <t>D003 - SXA - RJ - SEX QUINZENAL GRUPO A</t>
  </si>
  <si>
    <t>D003   	RJ - SEX QUINZENAL GRUPO A</t>
  </si>
  <si>
    <t>9039 - CEMED CARE EMP-CEMED-DIADEMA</t>
  </si>
  <si>
    <t>Banco BBM S.A.</t>
  </si>
  <si>
    <t>1330800 FABRICACAO DE TECIDOS DE MALHA</t>
  </si>
  <si>
    <t>2291 - Consórcio Simples</t>
  </si>
  <si>
    <t>F038 - 60 / 90 DIAS</t>
  </si>
  <si>
    <t>F010 - 	30 / 60 DIAS DA DATA</t>
  </si>
  <si>
    <t>CUC - Peso Convertible</t>
  </si>
  <si>
    <t>FI - 4 - Transporte aéreo</t>
  </si>
  <si>
    <t>D003 - SXB - RJ - SEX QUINZENAL GRUPO B</t>
  </si>
  <si>
    <t>D003   	RJ - SEX QUINZENAL GRUPO B</t>
  </si>
  <si>
    <t>9040 - CEMED CARE EMP-- CEMED-CARLOS</t>
  </si>
  <si>
    <t>107 - Banco BBM S.A.</t>
  </si>
  <si>
    <t>107</t>
  </si>
  <si>
    <t>HSBC Finance (Brasil) S.A.</t>
  </si>
  <si>
    <t>1340502 ALVEJAMENTO  TINGIMENTO E TORCAO EM FIOS  TECIDOS  ARTEFATOS TEXTEIS E</t>
  </si>
  <si>
    <t>2305 - Empresa Individual de Responsabilidade Limitada (de Natureza Empresári</t>
  </si>
  <si>
    <t>F039 - 45 / 90 DIAS</t>
  </si>
  <si>
    <t>F011 - 	30 / 45 DIAS DA DATA</t>
  </si>
  <si>
    <t>CUP - Peso cubano</t>
  </si>
  <si>
    <t>FI - 2 - Transporte ferrov.</t>
  </si>
  <si>
    <t>D003 - SXS - RJ - SEX SEMANAL</t>
  </si>
  <si>
    <t>D003   	RJ - SEX SEMANAL</t>
  </si>
  <si>
    <t>9041 - HOSP.MAT.AMICO-UPA PETROPOL</t>
  </si>
  <si>
    <t>168 - HSBC Finance (Brasil) S.A. - Banco Múltiplo</t>
  </si>
  <si>
    <t>168</t>
  </si>
  <si>
    <t>Banco Itaú BBA S.A.</t>
  </si>
  <si>
    <t>1351100 FABRICACAO DE ARTEFATOS TEXTEIS PARA USO DOMESTICO</t>
  </si>
  <si>
    <t>2313 - Empresa Individual de Responsabilidade Limitada (de Natureza Simples)</t>
  </si>
  <si>
    <t>F041 - 35 / 45 / 60 DIAS DA DATA</t>
  </si>
  <si>
    <t>F012 - 	28 / 35 / 42 DIAS DA DATA</t>
  </si>
  <si>
    <t>CVE - Escudo do Cabo Verde</t>
  </si>
  <si>
    <t>FI - 3 - Transporte rodoviár.(só até a fronteira)</t>
  </si>
  <si>
    <t>D003 - TEA - RJ - TER QUINZENAL GRUPO A</t>
  </si>
  <si>
    <t>D003   	RJ - TER QUINZENAL GRUPO A</t>
  </si>
  <si>
    <t>9042 - AMICO SAUDE LTDA - UPA TATUAPE</t>
  </si>
  <si>
    <t>184 - Banco Itaú BBA S.A.</t>
  </si>
  <si>
    <t>184</t>
  </si>
  <si>
    <t>Banco Bradesco Cartões S.A.</t>
  </si>
  <si>
    <t>1352900 FABRICACAO DE ARTEFATOS DE TAPECARIA</t>
  </si>
  <si>
    <t>3034 - Serviço Notarial e Registral (Cartório)</t>
  </si>
  <si>
    <t>F042 - 30 / 40 / 60 DIAS</t>
  </si>
  <si>
    <t>F013 - 	21 DIAS DA DATA</t>
  </si>
  <si>
    <t>CYP - Libra cipriota  (obsoleto --&gt; EUR)</t>
  </si>
  <si>
    <t>FR - 9 - Indústria automotiva</t>
  </si>
  <si>
    <t>D003 - TEB - RJ - TER QUINZENAL GRUPO B</t>
  </si>
  <si>
    <t>D003   	RJ - TER QUINZENAL GRUPO B</t>
  </si>
  <si>
    <t>9043 - AMICO SAUDE LTDA - UA OSASCO</t>
  </si>
  <si>
    <t>204 - Banco Bradesco Cartões S.A.</t>
  </si>
  <si>
    <t>204</t>
  </si>
  <si>
    <t>Banco BTG Pactual S.A.</t>
  </si>
  <si>
    <t>1354500 FABRICACAO DE TECIDOS ESPECIAIS  INCLUSIVE ARTEFATOS</t>
  </si>
  <si>
    <t>3069 - Fundação Privada</t>
  </si>
  <si>
    <t>F043 - 32 DIAS DA DATA</t>
  </si>
  <si>
    <t>F014 - 	60 DIAS DA DATA</t>
  </si>
  <si>
    <t>CZK - Coroa tcheca</t>
  </si>
  <si>
    <t>FR - 7 - Sistemas de transporte dedicados</t>
  </si>
  <si>
    <t>D003 - TES - RJ - TER SEMANAL</t>
  </si>
  <si>
    <t>D003   	RJ - TER SEMANAL</t>
  </si>
  <si>
    <t>9044 - AMICO SAUDE LTDA - UPA POMPEIA</t>
  </si>
  <si>
    <t>208 - Banco BTG Pactual S.A.</t>
  </si>
  <si>
    <t>208</t>
  </si>
  <si>
    <t>Banco Matone S.A.</t>
  </si>
  <si>
    <t>1359600 FABRICACAO DE OUTROS PRODUTOS TEXTEIS NAO ESPECIFICADOS ANTERIORMENTE</t>
  </si>
  <si>
    <t>3077 - Serviço Social Autônomo</t>
  </si>
  <si>
    <t>F050 - 60 / 75 DIAS</t>
  </si>
  <si>
    <t>F015 - 	35 / 65 / 95 DIAS DA DATA</t>
  </si>
  <si>
    <t>DEM - Marco alemão  (obsoleto --&gt; EUR)</t>
  </si>
  <si>
    <t>FR - 5 - Tráfego postal</t>
  </si>
  <si>
    <t>D004 - DIA - DIARIO</t>
  </si>
  <si>
    <t>D004   DIA DIARIO</t>
  </si>
  <si>
    <t>9045 - AMICO SAUDE LTDA - PA METRO IN</t>
  </si>
  <si>
    <t>212 - Banco Matone S.A.</t>
  </si>
  <si>
    <t>212</t>
  </si>
  <si>
    <t>Banco Arbi S.A.</t>
  </si>
  <si>
    <t>1412601 CONFECCAO DE PECAS DE VESTUARIO  EXCETO ROUPAS INTIMAS E AS CONFECCION</t>
  </si>
  <si>
    <t>3085 - Condomínio Edilício</t>
  </si>
  <si>
    <t>F051 - 90 / 120 DIAS</t>
  </si>
  <si>
    <t>F016 - 	35 / 45 / 65 DIAS DA DATA</t>
  </si>
  <si>
    <t>DEM3 - (Int.) Marco alemão (3 casas decimais)</t>
  </si>
  <si>
    <t>FR - 4 - Transporte aéreo</t>
  </si>
  <si>
    <t>D004 - QAA - RJ - QUA QUINZENAL GRUPO A</t>
  </si>
  <si>
    <t>D004   	RJ - QUA QUINZENAL GRUPO A</t>
  </si>
  <si>
    <t>9046 - AMICO SAUDE LTDA - PA SAMARO U</t>
  </si>
  <si>
    <t>213 - Banco Arbi S.A.</t>
  </si>
  <si>
    <t>213</t>
  </si>
  <si>
    <t>Banco Dibens S.A.</t>
  </si>
  <si>
    <t>1413401 CONFECCAO DE ROUPAS PROFISSIONAIS  EXCETO SOB MEDIDA</t>
  </si>
  <si>
    <t>3107 - Comissão de Conciliação Prévia</t>
  </si>
  <si>
    <t>F053 - 20 / 40 DIAS</t>
  </si>
  <si>
    <t>F017 - 	30 / 60 / 90 DIAS DA DATA</t>
  </si>
  <si>
    <t>DJF - Franco do Djibuti</t>
  </si>
  <si>
    <t>FR - 8 - Transporte em embarcação fluvial</t>
  </si>
  <si>
    <t>D004 - QAB - RJ - QUA QUINZENAL GRUPO B</t>
  </si>
  <si>
    <t>D004   	RJ - QUA QUINZENAL GRUPO B</t>
  </si>
  <si>
    <t>9047 - AMICO SAUDE LTDA - UPA SANTANA</t>
  </si>
  <si>
    <t>214 - Banco Dibens S.A.</t>
  </si>
  <si>
    <t>214</t>
  </si>
  <si>
    <t>Banco Comercial e de Investimento Sudameris S.A.</t>
  </si>
  <si>
    <t>1414200 FABRICACAO DE ACESSORIOS DO VESTUARIO  EXCETO PARA SEGURANCA E PROTECA</t>
  </si>
  <si>
    <t>3115 - Entidade de Mediação e Arbitragem</t>
  </si>
  <si>
    <t>F054 - LEASING</t>
  </si>
  <si>
    <t>F018 - 	45 DIAS DA DATA</t>
  </si>
  <si>
    <t>DKK - Coroa dinamarquesa</t>
  </si>
  <si>
    <t>FR - 2 - Transporte ferrov.</t>
  </si>
  <si>
    <t>D004 - QAS - RJ - QUA SEMANAL</t>
  </si>
  <si>
    <t>D004   	RJ - QUA SEMANAL</t>
  </si>
  <si>
    <t>9048 - AMICO SAUDE LTDA - UA LUZ CVM</t>
  </si>
  <si>
    <t>215 - Banco Comercial e de Investimento Sudameris S.A.</t>
  </si>
  <si>
    <t>215</t>
  </si>
  <si>
    <t>Banco John Deere S.A.</t>
  </si>
  <si>
    <t>1421500 FABRICACAO DE MEIAS</t>
  </si>
  <si>
    <t>3123 - Partido Político</t>
  </si>
  <si>
    <t>F060 - 28 / 42 DIAS</t>
  </si>
  <si>
    <t>F019 - 	10 DIAS DA DATA</t>
  </si>
  <si>
    <t>DOP - Peso dominicano</t>
  </si>
  <si>
    <t>FR - 1 - Transporte marítimo</t>
  </si>
  <si>
    <t>D004 - QUA - RJ - QUI QUINZENAL GRUPO A</t>
  </si>
  <si>
    <t>D004   	RJ - QUI QUINZENAL GRUPO A</t>
  </si>
  <si>
    <t>9049 - AMICO SAUDE LTDA - UA STOANDRE</t>
  </si>
  <si>
    <t>217 - Banco John Deere S.A.</t>
  </si>
  <si>
    <t>217</t>
  </si>
  <si>
    <t>Banco Bonsucesso S.A.</t>
  </si>
  <si>
    <t>1422300 FABRICACAO DE ARTIGOS DO VESTUARIO  PRODUZIDOS EM MALHARIAS E TRICOTAG</t>
  </si>
  <si>
    <t>3131 - Entidade Sindical</t>
  </si>
  <si>
    <t>F062 - 05 DIAS DA DATA</t>
  </si>
  <si>
    <t>F020 - 	20 DIAS DA DATA</t>
  </si>
  <si>
    <t>DZD - Dinar argelino</t>
  </si>
  <si>
    <t>FR - 3 - Transporte rodoviár.</t>
  </si>
  <si>
    <t>D004 - QUB - RJ - QUI QUINZENAL GRUPO B</t>
  </si>
  <si>
    <t>D004   	RJ - QUI QUINZENAL GRUPO B</t>
  </si>
  <si>
    <t>9050 - AMIL SAUDE S.A - UA BRIGADEIR</t>
  </si>
  <si>
    <t>218 - Banco Bonsucesso S.A.</t>
  </si>
  <si>
    <t>218</t>
  </si>
  <si>
    <t>Banco Credit Agricole Brasil S.A.</t>
  </si>
  <si>
    <t>1510600 CURTIMENTO E OUTRAS PREPARACOES DE COURO</t>
  </si>
  <si>
    <t>3204 - Estabelecimento, no Brasil, de Fundação ou Associação Estrangeiras</t>
  </si>
  <si>
    <t>F063 - 01 / 15 / 30 DIAS</t>
  </si>
  <si>
    <t>F021 - 	28 / 40 DIAS DA DATA</t>
  </si>
  <si>
    <t>ECS - Sucre do Equador (obsoleto --&gt; USD)</t>
  </si>
  <si>
    <t xml:space="preserve">HR - 1 - </t>
  </si>
  <si>
    <t>D004 - QUS - RJ - QUI SEMANAL</t>
  </si>
  <si>
    <t>D004   	RJ - QUI SEMANAL</t>
  </si>
  <si>
    <t>9051 - AMIL SAUDE S.A - UA CAR GOMES</t>
  </si>
  <si>
    <t>222 - Banco Credit Agricole Brasil S.A.</t>
  </si>
  <si>
    <t>222</t>
  </si>
  <si>
    <t>Banco Fibra S.A.</t>
  </si>
  <si>
    <t>1521100 FABRICACAO DE ARTIGOS PARA VIAGEM  BOLSAS E SEMELHANTES DE QUALQUER MA</t>
  </si>
  <si>
    <t>3212 - Fundação ou Associação domiciliada no exterior</t>
  </si>
  <si>
    <t>F065 - 80 DIAS</t>
  </si>
  <si>
    <t>F022 - 	95 DIAS DA DATA</t>
  </si>
  <si>
    <t>EEK - Coroa da Estônia (obsoleto --&gt; EUR)</t>
  </si>
  <si>
    <t xml:space="preserve">HR - 2 - </t>
  </si>
  <si>
    <t>D004 - SEA - RJ - SEG QUINZENAL GRUPO A</t>
  </si>
  <si>
    <t>D004   	RJ - SEG QUINZENAL GRUPO A</t>
  </si>
  <si>
    <t>9052 - AMICO SAUDE LTDA - UA UBS</t>
  </si>
  <si>
    <t>224 - Banco Fibra S.A.</t>
  </si>
  <si>
    <t>224</t>
  </si>
  <si>
    <t>Banco Brascan S.A.</t>
  </si>
  <si>
    <t>1531901 FABRICACAO DE CALCADOS DE COURO</t>
  </si>
  <si>
    <t>3220 - Organização Religiosa</t>
  </si>
  <si>
    <t>F066 - 120 DIAS</t>
  </si>
  <si>
    <t>F023 - 	42 DIAS DA DATA</t>
  </si>
  <si>
    <t>EGP - Libra egípcia</t>
  </si>
  <si>
    <t xml:space="preserve">HR - 3 - </t>
  </si>
  <si>
    <t>D004 - SEB - RJ - SEG QUINZENAL GRUPO B</t>
  </si>
  <si>
    <t>D004   	RJ - SEG QUINZENAL GRUPO B</t>
  </si>
  <si>
    <t>9053 - ESHO EMP. SERV- ESHO EMPRESA 1</t>
  </si>
  <si>
    <t>225 - Banco Brascan S.A.</t>
  </si>
  <si>
    <t>225</t>
  </si>
  <si>
    <t>Banco Cruzeiro do Sul S.A.</t>
  </si>
  <si>
    <t>1533500 FABRICACAO DE CALCADOS DE MATERIAL SINTETICO</t>
  </si>
  <si>
    <t>3239 - Comunidade Indígena</t>
  </si>
  <si>
    <t>F068 - 68 DIAS</t>
  </si>
  <si>
    <t>F024 - 	28 / 56 DIAS</t>
  </si>
  <si>
    <t>ERN - Nakfa - Eritreia</t>
  </si>
  <si>
    <t xml:space="preserve">HR - 4 - </t>
  </si>
  <si>
    <t>D004 - SES - RJ - SEG SEMANAL</t>
  </si>
  <si>
    <t>D004   	RJ - SEG SEMANAL</t>
  </si>
  <si>
    <t>9054 - ESHO EMP. SERV- ESHO EMPRESA 2</t>
  </si>
  <si>
    <t>229 - Banco Cruzeiro do Sul S.A.</t>
  </si>
  <si>
    <t>229</t>
  </si>
  <si>
    <t>Unicard Banco Múltiplo S.A.</t>
  </si>
  <si>
    <t>1610201 SERRARIAS COM DESDOBRAMENTO DE MADEIRA</t>
  </si>
  <si>
    <t>3247 - Fundo Privado</t>
  </si>
  <si>
    <t>F075 - 30 / 60 / 90 / 120 / 150 / 180 DIAS</t>
  </si>
  <si>
    <t>F025 - 	28 / 56 / 84 DIAS DA DATA</t>
  </si>
  <si>
    <t>ESP - Peseta espanhola  (obsoleto --&gt; EUR)</t>
  </si>
  <si>
    <t xml:space="preserve">HR - 5 - </t>
  </si>
  <si>
    <t>D004 - SXA - RJ - SEX QUINZENAL GRUPO A</t>
  </si>
  <si>
    <t>D004   	RJ - SEX QUINZENAL GRUPO A</t>
  </si>
  <si>
    <t>9055 - ESHO EMP. SERV- HOSPITALYS</t>
  </si>
  <si>
    <t>230 - Unicard Banco Múltiplo S.A.</t>
  </si>
  <si>
    <t>230</t>
  </si>
  <si>
    <t>Banco GE Capital S.A.</t>
  </si>
  <si>
    <t>1721400 FABRICACAO DE PAPEL</t>
  </si>
  <si>
    <t>3999 - Associação Privada</t>
  </si>
  <si>
    <t>F077 - 07 / 14 DIAS</t>
  </si>
  <si>
    <t>F028 - 	28 DIAS DA DATA</t>
  </si>
  <si>
    <t>ETB - Birr Etiópia</t>
  </si>
  <si>
    <t xml:space="preserve">HR - 7 - </t>
  </si>
  <si>
    <t>D004 - SXB - RJ - SEX QUINZENAL GRUPO B</t>
  </si>
  <si>
    <t>D004   	RJ - SEX QUINZENAL GRUPO B</t>
  </si>
  <si>
    <t>9056 - ESHO EMP. SERV- HCML</t>
  </si>
  <si>
    <t>233 - Banco GE Capital S.A.</t>
  </si>
  <si>
    <t>233</t>
  </si>
  <si>
    <t>1722200 FABRICACAO DE CARTOLINA E PAPEL-CARTAO</t>
  </si>
  <si>
    <t>4014 - Empresa Individual Imobiliária</t>
  </si>
  <si>
    <t>F081 - 07 / 28 DIAS</t>
  </si>
  <si>
    <t>F029 - 	ANTECIPAÇÃO</t>
  </si>
  <si>
    <t>EUR - Euro europeu</t>
  </si>
  <si>
    <t xml:space="preserve">HR - 8 - </t>
  </si>
  <si>
    <t>D004 - SXS - RJ - SEX SEMANAL</t>
  </si>
  <si>
    <t>D004   	RJ - SEX SEMANAL</t>
  </si>
  <si>
    <t>9057 - CASA DE SAUDE E MATERNIDADE SA</t>
  </si>
  <si>
    <t>Banco Clássico S.A.</t>
  </si>
  <si>
    <t>1731100 FABRICACAO DE EMBALAGENS DE PAPEL</t>
  </si>
  <si>
    <t>4081 - Contribuinte Individual</t>
  </si>
  <si>
    <t>F083 - 10 / 30 DIAS</t>
  </si>
  <si>
    <t>F030 - 	56 DIAS DA DATA</t>
  </si>
  <si>
    <t>EUR4 - Euro europeu</t>
  </si>
  <si>
    <t xml:space="preserve">HR - 9 - </t>
  </si>
  <si>
    <t>D004 - TEA - RJ - TER QUINZENAL GRUPO A</t>
  </si>
  <si>
    <t>D004   	RJ - TER QUINZENAL GRUPO A</t>
  </si>
  <si>
    <t>9058 - ESHO EMP. SERV- CARDIOTRAUMA</t>
  </si>
  <si>
    <t>241 - Banco Clássico S.A.</t>
  </si>
  <si>
    <t>241</t>
  </si>
  <si>
    <t>Banco Máxima S.A.</t>
  </si>
  <si>
    <t>1732000 FABRICACAO DE EMBALAGENS DE CARTOLINA E PAPEL-CARTAO</t>
  </si>
  <si>
    <t>4090 - Candidato a Cargo Político Eletivo</t>
  </si>
  <si>
    <t>F084 - 20 / 30 / 45 DIAS</t>
  </si>
  <si>
    <t>F032 - 	18 DIAS DA DATA</t>
  </si>
  <si>
    <t>FIM - Marco finlandês  (obsoleto --&gt; EUR)</t>
  </si>
  <si>
    <t>HU - 9 - Indústria automotiva</t>
  </si>
  <si>
    <t>D004 - TEB - RJ - TER QUINZENAL GRUPO B</t>
  </si>
  <si>
    <t>D004   	RJ - TER QUINZENAL GRUPO B</t>
  </si>
  <si>
    <t>9059 - CLIN.CIR.BOTAFOGO HOSP SAMARIT</t>
  </si>
  <si>
    <t>243 - Banco Máxima S.A.</t>
  </si>
  <si>
    <t>243</t>
  </si>
  <si>
    <t>Banco ABC Brasil S.A.</t>
  </si>
  <si>
    <t>1733800 FABRICACAO DE CHAPAS E DE EMBALAGENS DE PAPELAO ONDULADO</t>
  </si>
  <si>
    <t>5010 - Organização Internacional</t>
  </si>
  <si>
    <t>F085 - 15 / 30 / 60 DIAS</t>
  </si>
  <si>
    <t>F033 - 	28 DIAS FORA MÊS</t>
  </si>
  <si>
    <t>FJD - Dólar de Fiji</t>
  </si>
  <si>
    <t>HU - 7 - Sistemas de transporte dedicados</t>
  </si>
  <si>
    <t>D004 - TES - RJ - TER SEMANAL</t>
  </si>
  <si>
    <t>D004   	RJ - TER SEMANAL</t>
  </si>
  <si>
    <t>9060 - CEMED CARE - EMP. AT.HCG-AMIL</t>
  </si>
  <si>
    <t>246 - Banco ABC Brasil S.A.</t>
  </si>
  <si>
    <t>246</t>
  </si>
  <si>
    <t>Banco Boavista Interatlântico S.A.</t>
  </si>
  <si>
    <t>1741901 FABRICACAO DE FORMULARIOS CONTINUOS</t>
  </si>
  <si>
    <t>5029 - Representação Diplomática Estrangeira</t>
  </si>
  <si>
    <t>F086 - 29 DIAS</t>
  </si>
  <si>
    <t>F035 - 	90 DIAS DA DATA</t>
  </si>
  <si>
    <t>FKP - Libra das Ilhas Falkland</t>
  </si>
  <si>
    <t>HU - 5 - Tráfego postal</t>
  </si>
  <si>
    <t>D005 - DIA - DIARIO</t>
  </si>
  <si>
    <t>D005   DIA DIARIO</t>
  </si>
  <si>
    <t>9061 - CEMED CARE - EMP. AT.CEMED JAC</t>
  </si>
  <si>
    <t>248 - Banco Boavista Interatlântico S.A.</t>
  </si>
  <si>
    <t>248</t>
  </si>
  <si>
    <t>Banco Investcred Unibanco S.A.</t>
  </si>
  <si>
    <t>1741902 FABRICACAO DE PRODUTOS DE PAPEL  CARTOLINA  PAPEL CARTAO E PAPELAO OND</t>
  </si>
  <si>
    <t>5037 - Outras Instituições Extraterritoriais</t>
  </si>
  <si>
    <t>F103 - 20 / 30 / 60 / 90 / 120 / 150 DIAS</t>
  </si>
  <si>
    <t>F036 - 	40 DIAS DA DATA</t>
  </si>
  <si>
    <t>FRF - Franco francês  (obsoleto --&gt; EUR)</t>
  </si>
  <si>
    <t>HU - 4 - Transporte aéreo</t>
  </si>
  <si>
    <t>D005 - QAA - RJ - QUA QUINZENAL GRUPO A</t>
  </si>
  <si>
    <t>D005   	RJ - QUA QUINZENAL GRUPO A</t>
  </si>
  <si>
    <t>9062 - CEMED CARE - EMP. AT.CEMED TIJ</t>
  </si>
  <si>
    <t>249 - Banco Investcred Unibanco S.A.</t>
  </si>
  <si>
    <t>249</t>
  </si>
  <si>
    <t>Banco Schahin S.A.</t>
  </si>
  <si>
    <t>1742799 FABRICACAO DE PRODUTOS DE PAPEL PARA USO DOMESTICO E HIGIENICO-SANITAR</t>
  </si>
  <si>
    <t>F110 - 15 / 30 DIAS</t>
  </si>
  <si>
    <t>F037 - 	14 DIAS DA DATA</t>
  </si>
  <si>
    <t>GBP - Libra esterlina</t>
  </si>
  <si>
    <t>HU - 8 - Transporte em embarcação fluvial</t>
  </si>
  <si>
    <t>D005 - QAB - RJ - QUA QUINZENAL GRUPO B</t>
  </si>
  <si>
    <t>D005   	RJ - QUA QUINZENAL GRUPO B</t>
  </si>
  <si>
    <t>9063 - HOSP.ALVORADA TAGUATINGA LTDA</t>
  </si>
  <si>
    <t>250 - Banco Schahin S.A.</t>
  </si>
  <si>
    <t>250</t>
  </si>
  <si>
    <t>Paraná Banco S.A.</t>
  </si>
  <si>
    <t>1749400 FABRICACAO DE PRODUTOS DE PASTAS CELULOSICAS  PAPEL  CARTOLINA  PAPEL-</t>
  </si>
  <si>
    <t>F113 - 20 / 40 / 60 DIAS</t>
  </si>
  <si>
    <t>F038 - 	60 / 90 DIAS</t>
  </si>
  <si>
    <t>GEL - Lari - Geórgia</t>
  </si>
  <si>
    <t>HU - 2 - Transporte ferrov.</t>
  </si>
  <si>
    <t>D005 - QAS - RJ - QUA SEMANAL</t>
  </si>
  <si>
    <t>D005   	RJ - QUA SEMANAL</t>
  </si>
  <si>
    <t>9064 - AT.DIV.FONTES PAG..UN.RELACION</t>
  </si>
  <si>
    <t>254 - Paraná Banco S.A.</t>
  </si>
  <si>
    <t>254</t>
  </si>
  <si>
    <t>Banco Cacique S.A.</t>
  </si>
  <si>
    <t>1811302 IMPRESSAO DE LIVROS  REVISTAS E OUTRAS PUBLICACOES PERIODICAS</t>
  </si>
  <si>
    <t>F115 - 20 / 30 / 60 / 90 / 120 DIAS</t>
  </si>
  <si>
    <t>F039 - 	45 / 90 DIAS</t>
  </si>
  <si>
    <t>GHC - Cedi ganês (antigo)</t>
  </si>
  <si>
    <t>HU - 1 - Transporte marítimo</t>
  </si>
  <si>
    <t>D005 - QUA - RJ - QUI QUINZENAL GRUPO A</t>
  </si>
  <si>
    <t>D005   	RJ - QUI QUINZENAL GRUPO A</t>
  </si>
  <si>
    <t>9065 - AT.DIV.FONTES PAG-M. KLINIKUM</t>
  </si>
  <si>
    <t>263 - Banco Cacique S.A.</t>
  </si>
  <si>
    <t>263</t>
  </si>
  <si>
    <t>Banco Fator S.A.</t>
  </si>
  <si>
    <t>1812100 IMPRESSAO DE MATERIAL DE SEGURANCA</t>
  </si>
  <si>
    <t>F119 - 75 DIAS</t>
  </si>
  <si>
    <t>F041 - 	35 / 45 / 60 DIAS DA DATA</t>
  </si>
  <si>
    <t>GHS - Cedi - Gana</t>
  </si>
  <si>
    <t>HU - 3 - Transporte rodoviár.</t>
  </si>
  <si>
    <t>D005 - QUB - RJ - QUI QUINZENAL GRUPO B</t>
  </si>
  <si>
    <t>D005   	RJ - QUI QUINZENAL GRUPO B</t>
  </si>
  <si>
    <t>9066 - PTR7 INVEST. IMOBILIARIOS LTDA</t>
  </si>
  <si>
    <t>265 - Banco Fator S.A.</t>
  </si>
  <si>
    <t>265</t>
  </si>
  <si>
    <t>Banco Cédula S.A.</t>
  </si>
  <si>
    <t>1813001 IMPRESSAO DE MATERIAL PARA USO PUBLICITARIO</t>
  </si>
  <si>
    <t>F121 - 15 / 45 DIAS</t>
  </si>
  <si>
    <t>F042 - 	30 / 40 / 60 DIAS</t>
  </si>
  <si>
    <t>GIP - Libra de Gibraltar</t>
  </si>
  <si>
    <t>IE - 9 - Indústria automotiva</t>
  </si>
  <si>
    <t>D005 - QUS - RJ - QUI SEMANAL</t>
  </si>
  <si>
    <t>D005   	RJ - QUI SEMANAL</t>
  </si>
  <si>
    <t>266 - Banco Cédula S.A.</t>
  </si>
  <si>
    <t>266</t>
  </si>
  <si>
    <t>Banco de La Nacion Argentina</t>
  </si>
  <si>
    <t>1813099 IMPRESSAO DE MATERIAL PARA OUTROS USOS</t>
  </si>
  <si>
    <t>F122 - 20 / 30 / 60 DIAS</t>
  </si>
  <si>
    <t>F043 - 	32 DIAS DA DATA</t>
  </si>
  <si>
    <t>GMD - Dalasi - Gâmbia</t>
  </si>
  <si>
    <t>IE - 7 - Sistemas de transporte dedicados</t>
  </si>
  <si>
    <t>D005 - SEA - RJ - SEG QUINZENAL GRUPO A</t>
  </si>
  <si>
    <t>D005   	RJ - SEG QUINZENAL GRUPO A</t>
  </si>
  <si>
    <t>300 - Banco de La Nacion Argentina</t>
  </si>
  <si>
    <t>300</t>
  </si>
  <si>
    <t>Banco BMG S.A.</t>
  </si>
  <si>
    <t>1821100 SERVICOS DE PRE-IMPRESSAO</t>
  </si>
  <si>
    <t>F123 - 20 / 50 DIAS</t>
  </si>
  <si>
    <t>F050 - 	60 / 75 DIAS</t>
  </si>
  <si>
    <t>GNF - Franco - Guiné</t>
  </si>
  <si>
    <t>IE - 5 - Tráfego postal</t>
  </si>
  <si>
    <t>D005 - SEB - RJ - SEG QUINZENAL GRUPO B</t>
  </si>
  <si>
    <t>D005   	RJ - SEG QUINZENAL GRUPO B</t>
  </si>
  <si>
    <t>318 - Banco BMG S.A.</t>
  </si>
  <si>
    <t>318</t>
  </si>
  <si>
    <t>Banco Industrial e Comercial S.A.</t>
  </si>
  <si>
    <t>1822901 SERVICOS DE ENCADERNACAO E PLASTIFICACAO</t>
  </si>
  <si>
    <t>F126 - 27 DIAS</t>
  </si>
  <si>
    <t>F051 - 	90 / 120 DIAS</t>
  </si>
  <si>
    <t>GRD - Dracma - Grécia  (obsoleto --&gt; EUR)</t>
  </si>
  <si>
    <t>IE - 4 - Transporte aéreo</t>
  </si>
  <si>
    <t>D005 - SES - RJ - SEG SEMANAL</t>
  </si>
  <si>
    <t>D005   	RJ - SEG SEMANAL</t>
  </si>
  <si>
    <t>320 - Banco Industrial e Comercial S.A.</t>
  </si>
  <si>
    <t>320</t>
  </si>
  <si>
    <t>1822999 SERVICOS DE ACABAMENTOS GRAFICOS  EXCETO ENCADERNACAO E PLASTIFICACAO</t>
  </si>
  <si>
    <t>F129 - 59 DIAS</t>
  </si>
  <si>
    <t>F053 - 	20 / 40 DIAS</t>
  </si>
  <si>
    <t>GTQ - Quetzal - Guatemala</t>
  </si>
  <si>
    <t>IE - 8 - Transporte em embarcação fluvial</t>
  </si>
  <si>
    <t>D005 - SXA - RJ - SEX QUINZENAL GRUPO A</t>
  </si>
  <si>
    <t>D005   	RJ - SEX QUINZENAL GRUPO A</t>
  </si>
  <si>
    <t>Banco Real S.A.</t>
  </si>
  <si>
    <t>1830003 REPRODUCAO DE SOFTWARE EM QUALQUER SUPORTE</t>
  </si>
  <si>
    <t>F131 - 46 DIAS</t>
  </si>
  <si>
    <t>F054 - 	LEASING</t>
  </si>
  <si>
    <t>GWP - Peso da Guiné (obsoleto --&gt; SHP</t>
  </si>
  <si>
    <t>IE - 2 - Transporte ferrov.</t>
  </si>
  <si>
    <t>D005 - SXB - RJ - SEX QUINZENAL GRUPO B</t>
  </si>
  <si>
    <t>D005   	RJ - SEX QUINZENAL GRUPO B</t>
  </si>
  <si>
    <t>356 - Banco Real S.A.</t>
  </si>
  <si>
    <t>356</t>
  </si>
  <si>
    <t>Banco Société Générale Brasil S.A.</t>
  </si>
  <si>
    <t>1921700 FABRICACAO DE PRODUTOS DO REFINO DE PETROLEO</t>
  </si>
  <si>
    <t>F133 - 28 / 35 / 42 DIAS</t>
  </si>
  <si>
    <t>F060 - 	28 / 42 DIAS</t>
  </si>
  <si>
    <t>GYD - Dólar da Guiana</t>
  </si>
  <si>
    <t>IE - 1 - Transporte marítimo</t>
  </si>
  <si>
    <t>D005 - SXS - RJ - SEX SEMANAL</t>
  </si>
  <si>
    <t>D005   	RJ - SEX SEMANAL</t>
  </si>
  <si>
    <t>366 - Banco Société Générale Brasil S.A.</t>
  </si>
  <si>
    <t>366</t>
  </si>
  <si>
    <t>Banco WestLB do Brasil S.A.</t>
  </si>
  <si>
    <t>1922599 FABRICACAO DE OUTROS PRODUTOS DERIVADOS DO PETROLEO  EXCETO PRODUTOS D</t>
  </si>
  <si>
    <t>F137 - 30 / 60 / 90 / 120 / 150 / 180 / 210 / 240 DIAS</t>
  </si>
  <si>
    <t>F062 - 	05 DIAS DA DATA</t>
  </si>
  <si>
    <t>HKD - Dólar Hong Kong</t>
  </si>
  <si>
    <t>IE - 3 - Transporte rodoviár.</t>
  </si>
  <si>
    <t>D005 - TEA - RJ - TER QUINZENAL GRUPO A</t>
  </si>
  <si>
    <t>D005   	RJ - TER QUINZENAL GRUPO A</t>
  </si>
  <si>
    <t>370 - Banco WestLB do Brasil S.A.</t>
  </si>
  <si>
    <t>370</t>
  </si>
  <si>
    <t>Banco J. P. Morgan S.A.</t>
  </si>
  <si>
    <t>2014200 FABRICACAO DE GASES INDUSTRIAIS</t>
  </si>
  <si>
    <t>F142 - 58 / 65 / 75 DIAS</t>
  </si>
  <si>
    <t>F063 - 	01 / 15 / 30 DIAS</t>
  </si>
  <si>
    <t>HNL - Lempira - Honduras</t>
  </si>
  <si>
    <t>IT - 9 - Indústria automotiva</t>
  </si>
  <si>
    <t>D005 - TEB - RJ - TER QUINZENAL GRUPO B</t>
  </si>
  <si>
    <t>D005   	RJ - TER QUINZENAL GRUPO B</t>
  </si>
  <si>
    <t>376 - Banco J. P. Morgan S.A.</t>
  </si>
  <si>
    <t>376</t>
  </si>
  <si>
    <t>Banco Mercantil do Brasil S.A.</t>
  </si>
  <si>
    <t>2019301 ELABORACAO DE COMBUSTIVEIS NUCLEARES</t>
  </si>
  <si>
    <t>F180 - 180 DIAS</t>
  </si>
  <si>
    <t>F065 - 	80 DIAS</t>
  </si>
  <si>
    <t>HRK - Kuna - Croácia</t>
  </si>
  <si>
    <t>IT - 7 - Sistemas de transporte dedicados</t>
  </si>
  <si>
    <t>D005 - TES - RJ - TER SEMANAL</t>
  </si>
  <si>
    <t>D005   D005	TES	RJ - TER SEMANAL</t>
  </si>
  <si>
    <t>389 - Banco Mercantil do Brasil S.A.</t>
  </si>
  <si>
    <t>389</t>
  </si>
  <si>
    <t>Banco Bradesco Financiamentos S.A.</t>
  </si>
  <si>
    <t>2019399 FABRICACAO DE OUTROS PRODUTOS QUIMICOS INORGANICOS NAO ESPECIFICADOS A</t>
  </si>
  <si>
    <t>F191 - 30 / 60 / 75 DIAS</t>
  </si>
  <si>
    <t>F066 - 	120 DIAS</t>
  </si>
  <si>
    <t>HTG - Gourde - Haiti</t>
  </si>
  <si>
    <t>IT - 5 - Tráfego postal</t>
  </si>
  <si>
    <t>D006 - DIA - DIARIO</t>
  </si>
  <si>
    <t>D006   DIA DIARIO</t>
  </si>
  <si>
    <t>394 - Banco Bradesco Financiamentos S.A.</t>
  </si>
  <si>
    <t>394</t>
  </si>
  <si>
    <t>HSBC Bank Brasil S.A.</t>
  </si>
  <si>
    <t>2029100 FABRICACAO DE PRODUTOS QUIMICOS ORGANICOS NAO ESPECIFICADOS ANTERIORME</t>
  </si>
  <si>
    <t>F195 - 10 DIAS - ALUGUEL</t>
  </si>
  <si>
    <t>F068 - 	68 DIAS</t>
  </si>
  <si>
    <t>HUF - Florim húngaro</t>
  </si>
  <si>
    <t>IT - 4 - Transporte aéreo</t>
  </si>
  <si>
    <t>D006 - QAA - RJ - QUA QUINZENAL GRUPO A</t>
  </si>
  <si>
    <t>D006   	RJ - QUA QUINZENAL GRUPO A</t>
  </si>
  <si>
    <t>399 - HSBC Bank Brasil S.A. - Banco Múltiplo</t>
  </si>
  <si>
    <t>399</t>
  </si>
  <si>
    <t>UNIBANCO</t>
  </si>
  <si>
    <t>2031200 FABRICACAO DE RESINAS TERMOPLASTICAS</t>
  </si>
  <si>
    <t>F200 - SEM COBERTURA CAMBIAL</t>
  </si>
  <si>
    <t>F075 - 	30 / 60 / 90 / 120 / 150 / 180 DIAS</t>
  </si>
  <si>
    <t>IDR - Rúpia - Indonésia</t>
  </si>
  <si>
    <t>IT - 8 - Transporte em embarcação fluvial</t>
  </si>
  <si>
    <t>D006 - QAB - RJ - QUA QUINZENAL GRUPO B</t>
  </si>
  <si>
    <t>D006   	RJ - QUA QUINZENAL GRUPO B</t>
  </si>
  <si>
    <t>409 - UNIBANCO - União de Bancos Brasileiros S.A.</t>
  </si>
  <si>
    <t>409</t>
  </si>
  <si>
    <t>Banco Capital S.A.</t>
  </si>
  <si>
    <t>2032100 FABRICACAO DE RESINAS TERMOFIXAS</t>
  </si>
  <si>
    <t>F207 - 03 DIAS FORA MÊS</t>
  </si>
  <si>
    <t>F077 - 	07 / 14 DIAS</t>
  </si>
  <si>
    <t>IEP - Libra irlandesa  (obsoleto --&gt; EUR)</t>
  </si>
  <si>
    <t>IT - 2 - Transporte ferrov.</t>
  </si>
  <si>
    <t>D006 - QAS - RJ - QUA SEMANAL</t>
  </si>
  <si>
    <t>D006   	RJ - QUA SEMANAL</t>
  </si>
  <si>
    <t>412 - Banco Capital S.A.</t>
  </si>
  <si>
    <t>412</t>
  </si>
  <si>
    <t>Banco Safra S.A.</t>
  </si>
  <si>
    <t>2040100 FABRICACAO DE FIBRAS ARTIFICIAIS E SINTETICAS</t>
  </si>
  <si>
    <t>F210 - DIA 05</t>
  </si>
  <si>
    <t>F081 - 	07 / 28 DIAS</t>
  </si>
  <si>
    <t>ILS - Shekel - Israel</t>
  </si>
  <si>
    <t>IT - 1 - Transporte marítimo</t>
  </si>
  <si>
    <t>D006 - QUA - RJ - QUI QUINZENAL GRUPO A</t>
  </si>
  <si>
    <t>D006   	RJ - QUI QUINZENAL GRUPO A</t>
  </si>
  <si>
    <t>422 - Banco Safra S.A.</t>
  </si>
  <si>
    <t>422</t>
  </si>
  <si>
    <t>Banco Rural S.A.</t>
  </si>
  <si>
    <t>2051700 FABRICACAO DE DEFENSIVOS AGRICOLAS</t>
  </si>
  <si>
    <t>F214 - 240 DIAS</t>
  </si>
  <si>
    <t>F083 - 	10 / 30 DIAS</t>
  </si>
  <si>
    <t>INR - Rupia indiana</t>
  </si>
  <si>
    <t>IT - 3 - Transporte rodoviár.</t>
  </si>
  <si>
    <t>D006 - QUB - RJ - QUI QUINZENAL GRUPO B</t>
  </si>
  <si>
    <t>D006   	RJ - QUI QUINZENAL GRUPO B</t>
  </si>
  <si>
    <t>453 - Banco Rural S.A.</t>
  </si>
  <si>
    <t>453</t>
  </si>
  <si>
    <t>Banco de Tokyo-Mitsubishi UFJ Brasil S.A.</t>
  </si>
  <si>
    <t>2052500 FABRICACAO DE DESINFESTANTES DOMISSANITARIOS</t>
  </si>
  <si>
    <t>F217 - 30 / 60 DIAS</t>
  </si>
  <si>
    <t>F084 - 	20 / 30 / 45 DIAS</t>
  </si>
  <si>
    <t>IQD - Dinar iraquiano</t>
  </si>
  <si>
    <t>LU - 9 - Indústria automotiva</t>
  </si>
  <si>
    <t>D006 - QUS - RJ - QUI SEMANAL</t>
  </si>
  <si>
    <t>D006   	RJ - QUI SEMANAL</t>
  </si>
  <si>
    <t>456 - Banco de Tokyo-Mitsubishi UFJ Brasil S.A.</t>
  </si>
  <si>
    <t>456</t>
  </si>
  <si>
    <t>Banco Sumitomo Mitsui Brasileiro S.A.</t>
  </si>
  <si>
    <t>2061400 FABRICACAO DE SABOES E DETERGENTES SINTETICOS</t>
  </si>
  <si>
    <t>F220 - 28 DIAS - VENCIMENTO 30</t>
  </si>
  <si>
    <t>F085 - 	15 / 30 / 60 DIAS</t>
  </si>
  <si>
    <t>IRR - Rial iraniano</t>
  </si>
  <si>
    <t>LU - 7 - Instalação fixa de transporte</t>
  </si>
  <si>
    <t>D006 - SEA - RJ - SEG QUINZENAL GRUPO A</t>
  </si>
  <si>
    <t>D006   	RJ - SEG QUINZENAL GRUPO A</t>
  </si>
  <si>
    <t>464 - Banco Sumitomo Mitsui Brasileiro S.A.</t>
  </si>
  <si>
    <t>464</t>
  </si>
  <si>
    <t>Banco Caixa Geral</t>
  </si>
  <si>
    <t>2062200 FABRICACAO DE PRODUTOS DE LIMPEZA E POLIMENTO</t>
  </si>
  <si>
    <t>F221 - 30 DIAS - VENCIMENTO 30</t>
  </si>
  <si>
    <t>F086 - 	29 DIAS</t>
  </si>
  <si>
    <t>ISK - Coroa islandesa</t>
  </si>
  <si>
    <t>LU - 8 - Navegação fluvial</t>
  </si>
  <si>
    <t>D006 - SEB - RJ - SEG QUINZENAL GRUPO B</t>
  </si>
  <si>
    <t>D006   	RJ - SEG QUINZENAL GRUPO B</t>
  </si>
  <si>
    <t>473 - Banco Caixa Geral - Brasil S.A.</t>
  </si>
  <si>
    <t>473</t>
  </si>
  <si>
    <t>Citibank N.A.</t>
  </si>
  <si>
    <t>2063100 FABRICACAO DE COSMETICOS  PRODUTOS DE PERFUMARIA E DE HIGIENE PESSOAL</t>
  </si>
  <si>
    <t>F242 - DIA 30</t>
  </si>
  <si>
    <t>F103 - 	20 / 30 / 60 / 90 / 120 / 150 DIAS</t>
  </si>
  <si>
    <t>ITL - Lira italiana  (obsoleto --&gt; EUR)</t>
  </si>
  <si>
    <t>LU - 5 - Tráfego postal</t>
  </si>
  <si>
    <t>D006 - SES - RJ - SEG SEMANAL</t>
  </si>
  <si>
    <t>D006   	RJ - SEG SEMANAL</t>
  </si>
  <si>
    <t>477 - Citibank N.A.</t>
  </si>
  <si>
    <t>477</t>
  </si>
  <si>
    <t>Banco ItaúBank S.A</t>
  </si>
  <si>
    <t>2071100 FABRICACAO DE TINTAS  VERNIZES  ESMALTES E LACAS</t>
  </si>
  <si>
    <t>F247 - 11 DIAS</t>
  </si>
  <si>
    <t>F110 - 	15 / 30 DIAS</t>
  </si>
  <si>
    <t>JMD - Dólar jamaicano</t>
  </si>
  <si>
    <t>LU - 4 - Transporte aéreo</t>
  </si>
  <si>
    <t>D006 - SXA - RJ - SEX QUINZENAL GRUPO A</t>
  </si>
  <si>
    <t>D006   	RJ - SEX QUINZENAL GRUPO A</t>
  </si>
  <si>
    <t>479 - Banco ItaúBank S.A</t>
  </si>
  <si>
    <t>479</t>
  </si>
  <si>
    <t>Deutsche Bank S.A.</t>
  </si>
  <si>
    <t>2073800 FABRICACAO DE IMPERMEABILIZANTES  SOLVENTES E PRODUTOS AFINS</t>
  </si>
  <si>
    <t>F255 - 45 / 80 / 120 DIAS</t>
  </si>
  <si>
    <t>F113 - 	20 / 40 / 60 DIAS</t>
  </si>
  <si>
    <t>JOD - Dinar jordaniano</t>
  </si>
  <si>
    <t>LU - 2 - Transporte ferrov.</t>
  </si>
  <si>
    <t>D006 - SXB - RJ - SEX QUINZENAL GRUPO B</t>
  </si>
  <si>
    <t>D006   	RJ - SEX QUINZENAL GRUPO B</t>
  </si>
  <si>
    <t>487 - Deutsche Bank S.A. - Banco Alemão</t>
  </si>
  <si>
    <t>487</t>
  </si>
  <si>
    <t>JPMorgan Chase Bank</t>
  </si>
  <si>
    <t>2091600 FABRICACAO DE ADESIVOS E SELANTES</t>
  </si>
  <si>
    <t>F299 - 06 DIAS</t>
  </si>
  <si>
    <t>F115 - 	20 / 30 / 60 / 90 / 120 DIAS</t>
  </si>
  <si>
    <t>JPY - Iene japonês</t>
  </si>
  <si>
    <t>LU - 3 - Transporte rodoviár.</t>
  </si>
  <si>
    <t>D006 - SXS - RJ - SEX SEMANAL</t>
  </si>
  <si>
    <t>D006   	RJ - SEX SEMANAL</t>
  </si>
  <si>
    <t>488 - JPMorgan Chase Bank</t>
  </si>
  <si>
    <t>488</t>
  </si>
  <si>
    <t>ING Bank N.V.</t>
  </si>
  <si>
    <t>2093200 FABRICACAO DE ADITIVOS DE USO INDUSTRIAL</t>
  </si>
  <si>
    <t>F302 - 07 DIAS</t>
  </si>
  <si>
    <t>F119 - 	75 DIAS</t>
  </si>
  <si>
    <t>KES - Xelim queniano</t>
  </si>
  <si>
    <t>NL - 7 - Sistemas de transporte dedicados</t>
  </si>
  <si>
    <t>D006 - TEA - RJ - TER QUINZENAL GRUPO A</t>
  </si>
  <si>
    <t>D006   	RJ - TER QUINZENAL GRUPO A</t>
  </si>
  <si>
    <t>492 - ING Bank N.V.</t>
  </si>
  <si>
    <t>492</t>
  </si>
  <si>
    <t>Banco de La Republica Oriental del Uruguay</t>
  </si>
  <si>
    <t>2099101 FABRICACAO DE CHAPAS  FILMES  PAPEIS E OUTROS MATERIAIS E PRODUTOS QUI</t>
  </si>
  <si>
    <t>F121 - 	15 / 45 DIAS</t>
  </si>
  <si>
    <t>KGS - Som - Quirguízia</t>
  </si>
  <si>
    <t>NL - 5 - Tráfego postal</t>
  </si>
  <si>
    <t>D006 - TEB - RJ - TER QUINZENAL GRUPO B</t>
  </si>
  <si>
    <t>D006   	RJ - TER QUINZENAL GRUPO B</t>
  </si>
  <si>
    <t>494 - Banco de La Republica Oriental del Uruguay</t>
  </si>
  <si>
    <t>494</t>
  </si>
  <si>
    <t>Banco de La Provincia de Buenos Aires</t>
  </si>
  <si>
    <t>2099199 FABRICACAO DE OUTROS PRODUTOS QUIMICOS NAO ESPECIFICADOS ANTERIORMENTE</t>
  </si>
  <si>
    <t>F304 - 09 DIAS</t>
  </si>
  <si>
    <t>F122 - 	20 / 30 / 60 DIAS</t>
  </si>
  <si>
    <t>KHR - Riel - Camboja</t>
  </si>
  <si>
    <t>NL - 4 - Transporte aéreo</t>
  </si>
  <si>
    <t>D006 - TES - RJ - TER SEMANAL</t>
  </si>
  <si>
    <t>D006   	RJ - TER SEMANAL</t>
  </si>
  <si>
    <t>495 - Banco de La Provincia de Buenos Aires</t>
  </si>
  <si>
    <t>495</t>
  </si>
  <si>
    <t>Banco Credit Suisse (Brasil) S.A.</t>
  </si>
  <si>
    <t>2110600 FABRICACAO DE PRODUTOS FARMOQUIMICOS</t>
  </si>
  <si>
    <t>F305 - 15 DIAS</t>
  </si>
  <si>
    <t>F123 - 	20 / 50 DIAS</t>
  </si>
  <si>
    <t>KMF - Franco comorense</t>
  </si>
  <si>
    <t>NL - 8 - Transporte em embarcação fluvial</t>
  </si>
  <si>
    <t>D007 - DIA - DIARIO</t>
  </si>
  <si>
    <t>D007   DIA DIARIO</t>
  </si>
  <si>
    <t>505 - Banco Credit Suisse (Brasil) S.A.</t>
  </si>
  <si>
    <t>505</t>
  </si>
  <si>
    <t>Banco Luso Brasileiro S.A.</t>
  </si>
  <si>
    <t>2121101 FABRICACAO DE MEDICAMENTOS ALOPATICOS PARA USO HUMANO</t>
  </si>
  <si>
    <t>F306 - 22 DIAS</t>
  </si>
  <si>
    <t>F126 - 	27 DIAS</t>
  </si>
  <si>
    <t>KPW - Won norte-coreano</t>
  </si>
  <si>
    <t>NL - 2 - Transporte ferrov.</t>
  </si>
  <si>
    <t>D007 - QAA - RJ - QUA QUINZENAL GRUPO A</t>
  </si>
  <si>
    <t>D007   	RJ - QUA QUINZENAL GRUPO A</t>
  </si>
  <si>
    <t>600 - Banco Luso Brasileiro S.A.</t>
  </si>
  <si>
    <t>600</t>
  </si>
  <si>
    <t>Banco Industrial do Brasil S.A.</t>
  </si>
  <si>
    <t>2123800 FABRICACAO DE PREPARACOES FARMACEUTICAS</t>
  </si>
  <si>
    <t>F308 - 35 DIAS</t>
  </si>
  <si>
    <t>F129 - 	59 DIAS</t>
  </si>
  <si>
    <t>KRW - Won sul-coreano</t>
  </si>
  <si>
    <t>NL - 1 - Transporte marítimo</t>
  </si>
  <si>
    <t>D007 - QAB - RJ - QUA QUINZENAL GRUPO B</t>
  </si>
  <si>
    <t>D007   	RJ - QUA QUINZENAL GRUPO B</t>
  </si>
  <si>
    <t>604 - Banco Industrial do Brasil S.A.</t>
  </si>
  <si>
    <t>604</t>
  </si>
  <si>
    <t>Banco VR S.A.</t>
  </si>
  <si>
    <t>2211100 FABRICACAO DE PNEUMATICOS E DE CAMARAS-DE-AR</t>
  </si>
  <si>
    <t>F314 - 50 DIAS DA DATA</t>
  </si>
  <si>
    <t>F131 - 	46 DIAS</t>
  </si>
  <si>
    <t>KWD - Dinar kuweitiano</t>
  </si>
  <si>
    <t>NL - 3 - Transporte rodoviár.</t>
  </si>
  <si>
    <t>D007 - QAS - RJ - QUA SEMANAL</t>
  </si>
  <si>
    <t>D007   RJ - QUA SEMANAL</t>
  </si>
  <si>
    <t>610 - Banco VR S.A.</t>
  </si>
  <si>
    <t>610</t>
  </si>
  <si>
    <t>Banco Paulista S.A.</t>
  </si>
  <si>
    <t>2221800 FABRICACAO DE LAMINADOS PLANOS E TUBULARES DE MATERIAL PLASTICO</t>
  </si>
  <si>
    <t>F315 - 51 DIAS DA DATA</t>
  </si>
  <si>
    <t>F133 - 	28 / 35 / 42 DIAS</t>
  </si>
  <si>
    <t>KYD - Dólar das Ilhas Cayman</t>
  </si>
  <si>
    <t>PL - 9 - Indústria automotiva</t>
  </si>
  <si>
    <t>D007 - QUA - RJ - QUI QUINZENAL GRUPO A</t>
  </si>
  <si>
    <t>D007   	RJ - QUI QUINZENAL GRUPO A</t>
  </si>
  <si>
    <t>611 - Banco Paulista S.A.</t>
  </si>
  <si>
    <t>611</t>
  </si>
  <si>
    <t>Banco Guanabara S.A.</t>
  </si>
  <si>
    <t>2222600 FABRICACAO DE EMBALAGENS DE MATERIAL PLASTICO</t>
  </si>
  <si>
    <t>F316 - 53 DIAS DA DATA</t>
  </si>
  <si>
    <t>F137 - 	30 / 60 / 90 / 120 / 150 / 180 / 210 / 240 DIAS</t>
  </si>
  <si>
    <t>KZT - Tenge - Cazaquistão</t>
  </si>
  <si>
    <t>PL - 7 - Sistemas de transporte dedicados</t>
  </si>
  <si>
    <t>D007 - QUB - RJ - QUI QUINZENAL GRUPO B</t>
  </si>
  <si>
    <t>D007   	RJ - QUI QUINZENAL GRUPO B</t>
  </si>
  <si>
    <t>612 - Banco Guanabara S.A.</t>
  </si>
  <si>
    <t>612</t>
  </si>
  <si>
    <t>Banco Pecúnia S.A.</t>
  </si>
  <si>
    <t>2229301 FABRICACAO DE ARTEFATOS DE MATERIAL PLASTICO PARA USO PESSOAL E DOMEST</t>
  </si>
  <si>
    <t>F318 - 55 DIAS DA DATA</t>
  </si>
  <si>
    <t>F142 - 	58 / 65 / 75 DIAS</t>
  </si>
  <si>
    <t>LAK - Kip - Laos</t>
  </si>
  <si>
    <t>PL - 5 - Tráfego postal</t>
  </si>
  <si>
    <t>D007 - QUS - RJ - QUI SEMANAL</t>
  </si>
  <si>
    <t>D007   	RJ - QUI SEMANAL</t>
  </si>
  <si>
    <t>613 - Banco Pecúnia S.A.</t>
  </si>
  <si>
    <t>613</t>
  </si>
  <si>
    <t>Banco Panamericano S.A.</t>
  </si>
  <si>
    <t>2229302 FABRICACAO DE ARTEFATOS DE MATERIAL PLASTICO PARA USOS INDUSTRIAIS</t>
  </si>
  <si>
    <t>F325 - 57 DIAS DA DATA</t>
  </si>
  <si>
    <t>F180 - 	180 DIAS</t>
  </si>
  <si>
    <t>LBP - Libra libanesa</t>
  </si>
  <si>
    <t>PL - 4 - Transporte aéreo</t>
  </si>
  <si>
    <t>D007 - SEA - RJ - SEG QUINZENAL GRUPO A</t>
  </si>
  <si>
    <t>D007   	RJ - SEG QUINZENAL GRUPO A</t>
  </si>
  <si>
    <t>623 - Banco Panamericano S.A.</t>
  </si>
  <si>
    <t>623</t>
  </si>
  <si>
    <t>Banco Ficsa S.A.</t>
  </si>
  <si>
    <t>2229303 FABRICACAO DE ARTEFATOS DE MATERIAL PLASTICO PARA USO NA CONSTRUCAO  E</t>
  </si>
  <si>
    <t>F350 - 60 / 120 DIAS</t>
  </si>
  <si>
    <t>F191 - 	30 / 60 / 75 DIAS</t>
  </si>
  <si>
    <t>LKR - Rúpia cingalesa</t>
  </si>
  <si>
    <t>PL - 8 - Transporte em embarcação fluvial</t>
  </si>
  <si>
    <t>D007 - SEB - RJ - SEG QUINZENAL GRUPO B</t>
  </si>
  <si>
    <t>D007   	RJ - SEG QUINZENAL GRUPO B</t>
  </si>
  <si>
    <t>626 - Banco Ficsa S.A.</t>
  </si>
  <si>
    <t>626</t>
  </si>
  <si>
    <t>Banco Intercap S.A.</t>
  </si>
  <si>
    <t>2229399 FABRICACAO DE ARTEFATOS DE MATERIAL PLASTICO PARA OUTROS USOS NAO ESPE</t>
  </si>
  <si>
    <t>F440 - 15 / 20 DIAS</t>
  </si>
  <si>
    <t>F195 - 	10 DIAS - ALUGUEL</t>
  </si>
  <si>
    <t>LRD - Dólar liberiano</t>
  </si>
  <si>
    <t>PL - 2 - Transporte ferrov.</t>
  </si>
  <si>
    <t>D007 - SES - RJ - SEG SEMANAL</t>
  </si>
  <si>
    <t>D007   	RJ - SEG SEMANAL</t>
  </si>
  <si>
    <t>630 - Banco Intercap S.A.</t>
  </si>
  <si>
    <t>630</t>
  </si>
  <si>
    <t>Banco Rendimento S.A.</t>
  </si>
  <si>
    <t>2319200 FABRICACAO DE ARTIGOS DE VIDRO</t>
  </si>
  <si>
    <t>F999 - 15 / 30 / 60 / 90 / 120 / 150 DIAS</t>
  </si>
  <si>
    <t>F200 - 	SEM COBERTURA CAMBIAL</t>
  </si>
  <si>
    <t>LSL - Loti - Lesoto</t>
  </si>
  <si>
    <t>PL - 1 - Transporte marítimo</t>
  </si>
  <si>
    <t>D007 - SXA - RJ - SEX QUINZENAL GRUPO A</t>
  </si>
  <si>
    <t>D007   	RJ - SEX QUINZENAL GRUPO A</t>
  </si>
  <si>
    <t>633 - Banco Rendimento S.A.</t>
  </si>
  <si>
    <t>633</t>
  </si>
  <si>
    <t>Banco Triângulo S.A.</t>
  </si>
  <si>
    <t>2320600 FABRICACAO DE CIMENTO</t>
  </si>
  <si>
    <t>Z001 - (001) DIA</t>
  </si>
  <si>
    <t>F207 - 	03 DIAS FORA MÊS</t>
  </si>
  <si>
    <t>LTL - Litas - Lituânia</t>
  </si>
  <si>
    <t>PL - 3 - Transporte rodoviár.</t>
  </si>
  <si>
    <t>D007 - SXB - RJ - SEX QUINZENAL GRUPO B</t>
  </si>
  <si>
    <t>D007   	RJ - SEX QUINZENAL GRUPO B</t>
  </si>
  <si>
    <t>634 - Banco Triângulo S.A.</t>
  </si>
  <si>
    <t>634</t>
  </si>
  <si>
    <t>Banco Sofisa S.A.</t>
  </si>
  <si>
    <t>2330302 FABRICACAO DE ARTEFATOS DE CIMENTO PARA USO NA CONSTRUCAO</t>
  </si>
  <si>
    <t>Z007 - (007) DIAS</t>
  </si>
  <si>
    <t>F210 - 	DIA 05</t>
  </si>
  <si>
    <t>LUF - Franco luxemburguês  (obsoleto --&gt; EUR)</t>
  </si>
  <si>
    <t>PT - 9 - Indústria automotiva</t>
  </si>
  <si>
    <t>D007 - SXS - RJ - SEX SEMANAL</t>
  </si>
  <si>
    <t>D007   	RJ - SEX SEMANAL</t>
  </si>
  <si>
    <t>637 - Banco Sofisa S.A.</t>
  </si>
  <si>
    <t>637</t>
  </si>
  <si>
    <t>Banco Prosper S.A.</t>
  </si>
  <si>
    <t>2330303 FABRICACAO DE ARTEFATOS DE FIBROCIMENTO PARA USO NA CONSTRUCAO</t>
  </si>
  <si>
    <t>Z010 - (010) DIAS</t>
  </si>
  <si>
    <t>F214 - 	240 DIAS</t>
  </si>
  <si>
    <t>LVL - Lat - Letônia</t>
  </si>
  <si>
    <t>PT - 7 - Sistemas de transporte dedicados</t>
  </si>
  <si>
    <t>D007 - TEA - RJ - TER QUINZENAL GRUPO A</t>
  </si>
  <si>
    <t>D007   	RJ - TER QUINZENAL GRUPO A</t>
  </si>
  <si>
    <t>638 - Banco Prosper S.A.</t>
  </si>
  <si>
    <t>638</t>
  </si>
  <si>
    <t>Banco Alvorada S.A.</t>
  </si>
  <si>
    <t>2342701 FABRICACAO DE AZULEJOS E PISOS</t>
  </si>
  <si>
    <t>Z014 - (014) DIAS</t>
  </si>
  <si>
    <t>F217 - 	30 / 60 DIAS</t>
  </si>
  <si>
    <t>LYD - Dinar líbio</t>
  </si>
  <si>
    <t>PT - 5 - Tráfego postal</t>
  </si>
  <si>
    <t>D007 - TEB - RJ - TER QUINZENAL GRUPO B</t>
  </si>
  <si>
    <t>D007   	RJ - TER QUINZENAL GRUPO B</t>
  </si>
  <si>
    <t>641 - Banco Alvorada S.A.</t>
  </si>
  <si>
    <t>641</t>
  </si>
  <si>
    <t>Banco Pine S.A.</t>
  </si>
  <si>
    <t>2391503 APARELHAMENTO DE PLACAS E EXECUCAO DE TRABALHOS EM MARMORE  GRANITO  A</t>
  </si>
  <si>
    <t>Z015 - (015) DIAS</t>
  </si>
  <si>
    <t>F220 - 	28 DIAS - VENCIMENTO 30</t>
  </si>
  <si>
    <t>MAD - Dirrã - Marrocos</t>
  </si>
  <si>
    <t>PT - 4 - Transporte aéreo</t>
  </si>
  <si>
    <t>D007 - TES - RJ - TER SEMANAL</t>
  </si>
  <si>
    <t>D007   	RJ - TER SEMANAL</t>
  </si>
  <si>
    <t>643 - Banco Pine S.A.</t>
  </si>
  <si>
    <t>643</t>
  </si>
  <si>
    <t>Itaú Unibanco Holding S.A.</t>
  </si>
  <si>
    <t>2399199 FABRICACAO DE OUTROS PRODUTOS DE MINERAIS NAO-METALICOS NAO ESPECIFICA</t>
  </si>
  <si>
    <t>Z018 - (018) DIAS</t>
  </si>
  <si>
    <t>F221 - 	30 DIAS - VENCIMENTO 30</t>
  </si>
  <si>
    <t>MDL - Leu - Moldávia</t>
  </si>
  <si>
    <t>PT - 8 - Transporte em embarcação fluvial</t>
  </si>
  <si>
    <t>D008 - DIA - DIARIO</t>
  </si>
  <si>
    <t>D008   DIA DIARIO</t>
  </si>
  <si>
    <t>652 - Itaú Unibanco Holding S.A.</t>
  </si>
  <si>
    <t>652</t>
  </si>
  <si>
    <t>Banco Indusval S.A.</t>
  </si>
  <si>
    <t>2422902 PRODUCAO DE LAMINADOS PLANOS DE ACOS ESPECIAIS</t>
  </si>
  <si>
    <t>Z020 - (020) DIAS</t>
  </si>
  <si>
    <t>F242 - 	DIA 30</t>
  </si>
  <si>
    <t>MGA - Ariary malgaxe</t>
  </si>
  <si>
    <t>PT - 2 - Transporte ferrov.</t>
  </si>
  <si>
    <t>D008 - QAA - RJ - QUA QUINZENAL GRUPO A</t>
  </si>
  <si>
    <t>D008   	RJ - QUA QUINZENAL GRUPO A</t>
  </si>
  <si>
    <t>653 - Banco Indusval S.A.</t>
  </si>
  <si>
    <t>653</t>
  </si>
  <si>
    <t>Banco A.J.Renner S.A.</t>
  </si>
  <si>
    <t>2424502 PRODUCAO DE RELAMINADOS  TREFILADOS E PERFILADOS DE ACO  EXCETO ARAMES</t>
  </si>
  <si>
    <t>Z028 - (028) DIAS</t>
  </si>
  <si>
    <t>F247 - 	11 DIAS</t>
  </si>
  <si>
    <t>MGF - Franco malgaxe (antigo)</t>
  </si>
  <si>
    <t>PT - 1 - Transporte marítimo</t>
  </si>
  <si>
    <t>D008 - QAB - RJ - QUA QUINZENAL GRUPO B</t>
  </si>
  <si>
    <t>D008   	RJ - QUA QUINZENAL GRUPO B</t>
  </si>
  <si>
    <t>654 - Banco A.J.Renner S.A.</t>
  </si>
  <si>
    <t>654</t>
  </si>
  <si>
    <t>Banco Votorantim S.A.</t>
  </si>
  <si>
    <t>2441501 PRODUCAO DE ALUMINIO E SUAS LIGAS EM FORMAS PRIMARIAS</t>
  </si>
  <si>
    <t>Z030 - (030) DIAS</t>
  </si>
  <si>
    <t>F255 - 	45 / 80 / 120 DIAS</t>
  </si>
  <si>
    <t>MKD - Denar macedônio</t>
  </si>
  <si>
    <t>PT - 3 - Transporte rodoviár.</t>
  </si>
  <si>
    <t>D008 - QAS - RJ - QUA SEMANAL</t>
  </si>
  <si>
    <t>D008   	RJ - QUA SEMANAL</t>
  </si>
  <si>
    <t>655 - Banco Votorantim S.A.</t>
  </si>
  <si>
    <t>655</t>
  </si>
  <si>
    <t>Banco Daycoval S.A.</t>
  </si>
  <si>
    <t>2441502 PRODUCAO DE LAMINADOS DE ALUMINIO</t>
  </si>
  <si>
    <t>Z035 - (035) DIAS</t>
  </si>
  <si>
    <t>F299 - 	06 DIAS</t>
  </si>
  <si>
    <t>MMK - Myanmar Kyat</t>
  </si>
  <si>
    <t>SI - 9 - Indústria automotiva</t>
  </si>
  <si>
    <t>D008 - QUA - RJ - QUI QUINZENAL GRUPO A</t>
  </si>
  <si>
    <t>D008   	RJ - QUI QUINZENAL GRUPO A</t>
  </si>
  <si>
    <t>707 - Banco Daycoval S.A.</t>
  </si>
  <si>
    <t>707</t>
  </si>
  <si>
    <t>Banif-Banco Internacional do Funchal (Brasil)S.A.</t>
  </si>
  <si>
    <t>2451200 FUNDICAO DE FERRO E ACO</t>
  </si>
  <si>
    <t>Z040 - (040) DIAS</t>
  </si>
  <si>
    <t>F302 - 	07 DIAS</t>
  </si>
  <si>
    <t>MNT - Tugrik - Mongólia</t>
  </si>
  <si>
    <t>SI - 7 - Sistemas de transporte dedicados</t>
  </si>
  <si>
    <t>D008 - QUB - RJ - QUI QUINZENAL GRUPO B</t>
  </si>
  <si>
    <t>D008   	RJ - QUI QUINZENAL GRUPO B</t>
  </si>
  <si>
    <t>719 - Banif-Banco Internacional do Funchal (Brasil)S.A.</t>
  </si>
  <si>
    <t>719</t>
  </si>
  <si>
    <t>Banco Credibel S.A.</t>
  </si>
  <si>
    <t>2511000 FABRICACAO DE ESTRUTURAS METALICAS</t>
  </si>
  <si>
    <t>Z042 - (042) DIAS</t>
  </si>
  <si>
    <t>F303 - 	08 DIAS</t>
  </si>
  <si>
    <t>MOP - Pataca - Macau</t>
  </si>
  <si>
    <t>SI - 5 - Tráfego postal</t>
  </si>
  <si>
    <t>D008 - QUS - RJ - QUI SEMANAL</t>
  </si>
  <si>
    <t>D008   	RJ - QUI SEMANAL</t>
  </si>
  <si>
    <t>721 - Banco Credibel S.A.</t>
  </si>
  <si>
    <t>721</t>
  </si>
  <si>
    <t>Banco Porto Seguro S.A.</t>
  </si>
  <si>
    <t>2512800 FABRICACAO DE ESQUADRIAS DE METAL</t>
  </si>
  <si>
    <t>Z045 - (045) DIAS</t>
  </si>
  <si>
    <t>F304 - 	09 DIAS</t>
  </si>
  <si>
    <t>MRO - Uguia - Mauritânia</t>
  </si>
  <si>
    <t>SI - 4 - Transporte aéreo</t>
  </si>
  <si>
    <t>D008 - SEA - RJ - SEG QUINZENAL GRUPO A</t>
  </si>
  <si>
    <t>D008   	RJ - SEG QUINZENAL GRUPO A</t>
  </si>
  <si>
    <t>724 - Banco Porto Seguro S.A.</t>
  </si>
  <si>
    <t>724</t>
  </si>
  <si>
    <t>Banco Gerdau S.A.</t>
  </si>
  <si>
    <t>2513600 FABRICACAO DE OBRAS DE CALDEIRARIA PESADA</t>
  </si>
  <si>
    <t>Z050 - (050) DIAS</t>
  </si>
  <si>
    <t>F305 - 	15 DIAS</t>
  </si>
  <si>
    <t>MTL - Libra maltesa  (obsoleto --&gt; EUR)</t>
  </si>
  <si>
    <t>SI - 2 - Transporte ferrov.</t>
  </si>
  <si>
    <t>D008 - SEB - RJ - SEG QUINZENAL GRUPO B</t>
  </si>
  <si>
    <t>D008   	RJ - SEG QUINZENAL GRUPO B</t>
  </si>
  <si>
    <t>734 - Banco Gerdau S.A.</t>
  </si>
  <si>
    <t>734</t>
  </si>
  <si>
    <t>Banco Pottencial S.A.</t>
  </si>
  <si>
    <t>2521700 FABRICACAO DE TANQUES  RESERVATORIOS METALICOS E CALDEIRAS PARA AQUECI</t>
  </si>
  <si>
    <t>Z056 - (056) DIAS</t>
  </si>
  <si>
    <t>F306 - 	22 DIAS</t>
  </si>
  <si>
    <t>MUR - Rúpia mauriciana</t>
  </si>
  <si>
    <t>SI - 1 - Transporte marítimo</t>
  </si>
  <si>
    <t>D008 - SES - RJ - SEG SEMANAL</t>
  </si>
  <si>
    <t>D008   	RJ - SEG SEMANAL</t>
  </si>
  <si>
    <t>735 - Banco Pottencial S.A.</t>
  </si>
  <si>
    <t>735</t>
  </si>
  <si>
    <t>Banco Morada S.A.</t>
  </si>
  <si>
    <t>2532201 PRODUCAO DE ARTEFATOS ESTAMPADOS DE METAL</t>
  </si>
  <si>
    <t>Z058 - (058) DIAS</t>
  </si>
  <si>
    <t>F308 - 	35 DIAS</t>
  </si>
  <si>
    <t>MVR - Rúpia maldívia</t>
  </si>
  <si>
    <t>SI - 3 - Transporte rodoviár.</t>
  </si>
  <si>
    <t>D008 - SXA - RJ - SEX QUINZENAL GRUPO A</t>
  </si>
  <si>
    <t>D008   	RJ - SEX QUINZENAL GRUPO A</t>
  </si>
  <si>
    <t>738 - Banco Morada S.A.</t>
  </si>
  <si>
    <t>738</t>
  </si>
  <si>
    <t>Banco BGN S.A.</t>
  </si>
  <si>
    <t>2539001 SERVICOS DE USINAGEM  TORNEARIA E SOLDA</t>
  </si>
  <si>
    <t>Z060 - (060) DIAS</t>
  </si>
  <si>
    <t>F314 - 	50 DIAS DA DATA</t>
  </si>
  <si>
    <t>MWK - Cuacha malaviana</t>
  </si>
  <si>
    <t>SK - 9 - Indústria automotiva</t>
  </si>
  <si>
    <t>D008 - SXB - RJ - SEX QUINZENAL GRUPO B</t>
  </si>
  <si>
    <t>D008   	RJ - SEX QUINZENAL GRUPO B</t>
  </si>
  <si>
    <t>739 - Banco BGN S.A.</t>
  </si>
  <si>
    <t>739</t>
  </si>
  <si>
    <t>Banco Barclays S.A.</t>
  </si>
  <si>
    <t>2542000 FABRICACAO DE ARTIGOS DE SERRALHERIA  EXCETO ESQUADRIAS</t>
  </si>
  <si>
    <t>Z065 - (065) DIAS</t>
  </si>
  <si>
    <t>F315 - 	51 DIAS DA DATA</t>
  </si>
  <si>
    <t>MXN - Peso mexicano</t>
  </si>
  <si>
    <t>SK - 7 - Sistemas de transporte dedicados</t>
  </si>
  <si>
    <t>D008 - SXS - RJ - SEX SEMANAL</t>
  </si>
  <si>
    <t>D008   	RJ - SEX SEMANAL</t>
  </si>
  <si>
    <t>740 - Banco Barclays S.A.</t>
  </si>
  <si>
    <t>740</t>
  </si>
  <si>
    <t>Banco Ribeirão Preto S.A.</t>
  </si>
  <si>
    <t>2593400 FABRICACAO DE ARTIGOS DE METAL PARA USO DOMESTICO E PESSOAL</t>
  </si>
  <si>
    <t>Z075 - (075) DIAS</t>
  </si>
  <si>
    <t>F316 - 	53 DIAS DA DATA</t>
  </si>
  <si>
    <t>MYR - Ringgit - Malásia</t>
  </si>
  <si>
    <t>SK - 5 - Tráfego postal</t>
  </si>
  <si>
    <t>D008 - TEA - RJ - TER QUINZENAL GRUPO A</t>
  </si>
  <si>
    <t>D008   	RJ - TER QUINZENAL GRUPO A</t>
  </si>
  <si>
    <t>741 - Banco Ribeirão Preto S.A.</t>
  </si>
  <si>
    <t>741</t>
  </si>
  <si>
    <t>Banco Semear S.A.</t>
  </si>
  <si>
    <t>2599399 FABRICACAO DE OUTROS PRODUTOS DE METAL NAO ESPECIFICADOS ANTERIORMENTE</t>
  </si>
  <si>
    <t>Z080 - (080) DIAS</t>
  </si>
  <si>
    <t>F318 - 	55 DIAS DA DATA</t>
  </si>
  <si>
    <t>MZM - Metical Moçambique (antigo)</t>
  </si>
  <si>
    <t>SK - 4 - Transporte aéreo</t>
  </si>
  <si>
    <t>D008 - TEB - RJ - TER QUINZENAL GRUPO B</t>
  </si>
  <si>
    <t>D008   	RJ - TER QUINZENAL GRUPO B</t>
  </si>
  <si>
    <t>743 - Banco Semear S.A.</t>
  </si>
  <si>
    <t>743</t>
  </si>
  <si>
    <t>BankBoston N.A.</t>
  </si>
  <si>
    <t>2610800 FABRICACAO DE COMPONENTES ELETRONICOS</t>
  </si>
  <si>
    <t>Z084 - (084) DIAS</t>
  </si>
  <si>
    <t>F325 - 	57 DIAS DA DATA</t>
  </si>
  <si>
    <t>MZN - Metical - Moçambique</t>
  </si>
  <si>
    <t>SK - 8 - Transporte em embarcação fluvial</t>
  </si>
  <si>
    <t>D008 - TES - RJ - TER SEMANAL</t>
  </si>
  <si>
    <t>D008   	RJ - TER SEMANAL</t>
  </si>
  <si>
    <t>744 - BankBoston N.A.</t>
  </si>
  <si>
    <t>744</t>
  </si>
  <si>
    <t>Banco Citibank S.A.</t>
  </si>
  <si>
    <t>2621300 FABRICACAO DE EQUIPAMENTOS DE INFORMATICA</t>
  </si>
  <si>
    <t>Z090 - (090) DIAS</t>
  </si>
  <si>
    <t>F350 - 	60 / 120 DIAS</t>
  </si>
  <si>
    <t>NAD - Dólar Namíbia</t>
  </si>
  <si>
    <t>SK - 2 - Transporte ferrov.</t>
  </si>
  <si>
    <t>D009 - DIA - DIARIO</t>
  </si>
  <si>
    <t>D009   DIA DIARIO</t>
  </si>
  <si>
    <t>745 - Banco Citibank S.A.</t>
  </si>
  <si>
    <t>745</t>
  </si>
  <si>
    <t>Banco Modal S.A.</t>
  </si>
  <si>
    <t>2622100 FABRICACAO DE PERIFERICOS PARA EQUIPAMENTOS DE INFORMATICA</t>
  </si>
  <si>
    <t>Z095 - (095) DIAS</t>
  </si>
  <si>
    <t>F440 - 	15 / 20 DIAS</t>
  </si>
  <si>
    <t>NGN - Naira - Nigéria</t>
  </si>
  <si>
    <t>SK - 3 - Transporte rodoviár.</t>
  </si>
  <si>
    <t>D009 - QAA - RJ - QUA QUINZENAL GRUPO A</t>
  </si>
  <si>
    <t>D009   	RJ - QUA QUINZENAL GRUPO A</t>
  </si>
  <si>
    <t>746 - Banco Modal S.A.</t>
  </si>
  <si>
    <t>746</t>
  </si>
  <si>
    <t>Banco Rabobank International Brasil S.A.</t>
  </si>
  <si>
    <t>2631100 FABRICACAO DE EQUIPAMENTOS TRANSMISSORES DE COMUNICACAO  PECAS E ACESS</t>
  </si>
  <si>
    <t>Z120 - (120) DIAS</t>
  </si>
  <si>
    <t>F999 - 	15 / 30 / 60 / 90 / 120 / 150 DIAS</t>
  </si>
  <si>
    <t>NIO - Cordoba Oro nicaraguense</t>
  </si>
  <si>
    <t>D009 - QAB - RJ - QUA QUINZENAL GRUPO B</t>
  </si>
  <si>
    <t>D009   	RJ - QUA QUINZENAL GRUPO B</t>
  </si>
  <si>
    <t>747 - Banco Rabobank International Brasil S.A.</t>
  </si>
  <si>
    <t>747</t>
  </si>
  <si>
    <t>Banco Cooperativo Sicredi S.A.</t>
  </si>
  <si>
    <t>2651500 FABRICACAO DE APARELHOS E EQUIPAMENTOS DE MEDIDA  TESTE E CONTROLE</t>
  </si>
  <si>
    <t>Z150 - (150) DIAS</t>
  </si>
  <si>
    <t>Z001 - 	(001) DIA</t>
  </si>
  <si>
    <t>NLG - Florim holandês  (obsoleto --&gt; EUR)</t>
  </si>
  <si>
    <t>D009 - QAS - RJ - QUA SEMANAL</t>
  </si>
  <si>
    <t>D009   	RJ - QUA SEMANAL</t>
  </si>
  <si>
    <t>748 - Banco Cooperativo Sicredi S.A.</t>
  </si>
  <si>
    <t>748</t>
  </si>
  <si>
    <t>Banco Simples S.A.</t>
  </si>
  <si>
    <t>2660400 FABRICACAO DE APARELHOS ELETROMEDICOS E ELETROTERAPEUTICOS E EQUIPAMEN</t>
  </si>
  <si>
    <t>Z180 - (180) DIAS</t>
  </si>
  <si>
    <t>Z007 - 	(007) DIAS</t>
  </si>
  <si>
    <t>NOK - Coroa norueguesa</t>
  </si>
  <si>
    <t>D009 - QUA - RJ - QUI QUINZENAL GRUPO A</t>
  </si>
  <si>
    <t>D009   	RJ - QUI QUINZENAL GRUPO A</t>
  </si>
  <si>
    <t>749 - Banco Simples S.A.</t>
  </si>
  <si>
    <t>749</t>
  </si>
  <si>
    <t>Dresdner Bank Brasil S.A.</t>
  </si>
  <si>
    <t>2710401 FABRICACAO DE GERADORES DE CORRENTE CONTINUA E ALTERNADA  PECAS E ACES</t>
  </si>
  <si>
    <t>Z210 - (210) DIAS</t>
  </si>
  <si>
    <t>Z010 - 	(010) DIAS</t>
  </si>
  <si>
    <t>NPR - Rúpia do Nepal</t>
  </si>
  <si>
    <t>D009 - QUB - RJ - QUI QUINZENAL GRUPO B</t>
  </si>
  <si>
    <t>D009   	RJ - QUI QUINZENAL GRUPO B</t>
  </si>
  <si>
    <t>751 - Dresdner Bank Brasil S.A. - Banco Múltiplo</t>
  </si>
  <si>
    <t>751</t>
  </si>
  <si>
    <t>Banco BNP Paribas Brasil S.A.</t>
  </si>
  <si>
    <t>2710402 FABRICACAO DE TRANSFORMADORES  INDUTORES  CONVERSORES  SINCRONIZADORES</t>
  </si>
  <si>
    <t>Z240 - (240) DIAS</t>
  </si>
  <si>
    <t>Z014 - 	(014) DIAS</t>
  </si>
  <si>
    <t>NZD - Dólar neozelandês</t>
  </si>
  <si>
    <t>D009 - QUS - RJ - QUI SEMANAL</t>
  </si>
  <si>
    <t>D009   	RJ - QUI SEMANAL</t>
  </si>
  <si>
    <t>752 - Banco BNP Paribas Brasil S.A.</t>
  </si>
  <si>
    <t>752</t>
  </si>
  <si>
    <t>NBC Bank Brasil S.A.</t>
  </si>
  <si>
    <t>2710403 FABRICACAO DE MOTORES ELETRICOS  PECAS E ACESSORIOS</t>
  </si>
  <si>
    <t>Z015 - 	(015) DIAS</t>
  </si>
  <si>
    <t>NZD5 - Dólar neozelandês</t>
  </si>
  <si>
    <t>D009 - SEA - RJ - SEG QUINZENAL GRUPO A</t>
  </si>
  <si>
    <t>D009   	RJ - SEG QUINZENAL GRUPO A</t>
  </si>
  <si>
    <t>753 - NBC Bank Brasil S.A. - Banco Múltiplo</t>
  </si>
  <si>
    <t>753</t>
  </si>
  <si>
    <t>Bank of America Merrill Lynch Banco Múltiplo S.A.</t>
  </si>
  <si>
    <t>2721000 FABRICACAO DE PILHAS  BATERIAS E ACUMULADORES ELETRICOS  EXCETO PARA V</t>
  </si>
  <si>
    <t>Z018 - 	(018) DIAS</t>
  </si>
  <si>
    <t>OMR - Rial omani</t>
  </si>
  <si>
    <t>D009 - SEB - RJ - SEG QUINZENAL GRUPO B</t>
  </si>
  <si>
    <t>D009   	RJ - SEG QUINZENAL GRUPO B</t>
  </si>
  <si>
    <t>755 - Bank of America Merrill Lynch Banco Múltiplo S.A.</t>
  </si>
  <si>
    <t>755</t>
  </si>
  <si>
    <t>Banco Cooperativo do Brasil S.A.</t>
  </si>
  <si>
    <t>2731700 FABRICACAO DE APARELHOS E EQUIPAMENTOS PARA DISTRIBUICAO E CONTROLE DE</t>
  </si>
  <si>
    <t>Z020 - 	(020) DIAS</t>
  </si>
  <si>
    <t>PAB - Balboa - Panamá</t>
  </si>
  <si>
    <t>D009 - SES - RJ - SEG SEMANAL</t>
  </si>
  <si>
    <t>D009   	RJ - SEG SEMANAL</t>
  </si>
  <si>
    <t>756 - Banco Cooperativo do Brasil S.A. - BANCOOB</t>
  </si>
  <si>
    <t>756</t>
  </si>
  <si>
    <t>Banco KEB do Brasil S.A.</t>
  </si>
  <si>
    <t>2733300 FABRICACAO DE FIOS  CABOS E CONDUTORES ELETRICOS ISOLADOS</t>
  </si>
  <si>
    <t>Z028 - 	(028) DIAS</t>
  </si>
  <si>
    <t>PEN - Sol novo - Peru</t>
  </si>
  <si>
    <t>D009 - SXA - RJ - SEX QUINZENAL GRUPO A</t>
  </si>
  <si>
    <t>D009   	RJ - SEX QUINZENAL GRUPO A</t>
  </si>
  <si>
    <t>757 - Banco KEB do Brasil S.A.</t>
  </si>
  <si>
    <t>757</t>
  </si>
  <si>
    <t>Banco Intermedium S.A.</t>
  </si>
  <si>
    <t>2740601 FABRICACAO DE LAMPADAS</t>
  </si>
  <si>
    <t>Z030 - 	(030) DIAS</t>
  </si>
  <si>
    <t>PGK - Kina - Papua Nova Guiné</t>
  </si>
  <si>
    <t>D009 - SXB - RJ - SEX QUINZENAL GRUPO B</t>
  </si>
  <si>
    <t>D009   	RJ - SEX QUINZENAL GRUPO B</t>
  </si>
  <si>
    <t>077-9 - Banco Intermedium S.A.</t>
  </si>
  <si>
    <t>077-9</t>
  </si>
  <si>
    <t>Concórdia Banco S.A.</t>
  </si>
  <si>
    <t>2740602 FABRICACAO DE LUMINARIAS E OUTROS EQUIPAMENTOS DE ILUMINACAO</t>
  </si>
  <si>
    <t>Z035 - 	(035) DIAS</t>
  </si>
  <si>
    <t>PHP - Peso filipino</t>
  </si>
  <si>
    <t>D009 - SXS - RJ - SEX SEMANAL</t>
  </si>
  <si>
    <t>D009   	RJ - SEX SEMANAL</t>
  </si>
  <si>
    <t>081-7 - Concórdia Banco S.A.</t>
  </si>
  <si>
    <t>081-7</t>
  </si>
  <si>
    <t>Banco Topázio S.A.</t>
  </si>
  <si>
    <t>2751100 FABRICACAO DE FOGOES  REFRIGERADORES E MAQUINAS DE LAVAR E SECAR PARA</t>
  </si>
  <si>
    <t>Z040 - 	(040) DIAS</t>
  </si>
  <si>
    <t>PKR - Rúpia paquistanesa</t>
  </si>
  <si>
    <t>D009 - TEA - RJ - TER QUINZENAL GRUPO A</t>
  </si>
  <si>
    <t>D009   	RJ - TER QUINZENAL GRUPO A</t>
  </si>
  <si>
    <t>082-5 - Banco Topázio S.A.</t>
  </si>
  <si>
    <t>082-5</t>
  </si>
  <si>
    <t>Banco da China Brasil S.A.</t>
  </si>
  <si>
    <t>2759799 FABRICACAO DE OUTROS APARELHOS ELETRODOMESTICOS NAO ESPECIFICADOS ANTE</t>
  </si>
  <si>
    <t>Z042 - 	(042) DIAS</t>
  </si>
  <si>
    <t>PLN - Zloty da Polônia (novo)</t>
  </si>
  <si>
    <t>D009 - TEB - RJ - TER QUINZENAL GRUPO B</t>
  </si>
  <si>
    <t>D009   	RJ - TER QUINZENAL GRUPO B</t>
  </si>
  <si>
    <t>083-3 - Banco da China Brasil S.A.</t>
  </si>
  <si>
    <t>083-3</t>
  </si>
  <si>
    <t>Cooperativa Central de Crédito Urbano-CECRED</t>
  </si>
  <si>
    <t>2790202 FABRICACAO DE EQUIPAMENTOS PARA SINALIZACAO E ALARME</t>
  </si>
  <si>
    <t>Z045 - 	(045) DIAS</t>
  </si>
  <si>
    <t>PTE - Escudos portugueses  (obsoleto --&gt; EUR)</t>
  </si>
  <si>
    <t>D009 - TES - RJ - TER SEMANAL</t>
  </si>
  <si>
    <t>D009   	RJ - TER SEMANAL</t>
  </si>
  <si>
    <t>085-x - Cooperativa Central de Crédito Urbano-CECRED</t>
  </si>
  <si>
    <t>085-x</t>
  </si>
  <si>
    <t>OBOE Crédito Financiamento e Investimento S.A.</t>
  </si>
  <si>
    <t>2790299 FABRICACAO DE OUTROS EQUIPAMENTOS E APARELHOS ELETRICOS NAO ESPECIFICA</t>
  </si>
  <si>
    <t>Z050 - 	(050) DIAS</t>
  </si>
  <si>
    <t>PYG - Guaranai - Paraguai</t>
  </si>
  <si>
    <t>D010 - DIA - DIARIO</t>
  </si>
  <si>
    <t>D010   DIA DIARIO</t>
  </si>
  <si>
    <t>086-8 - OBOE Crédito Financiamento e Investimento S.A.</t>
  </si>
  <si>
    <t>086-8</t>
  </si>
  <si>
    <t>Cooperativa Unicred Central Santa Catarina</t>
  </si>
  <si>
    <t>2811900 FABRICACAO DE MOTORES E TURBINAS  PECAS E ACESSORIOS  EXCETO PARA AVIO</t>
  </si>
  <si>
    <t>Z056 - 	(056) DIAS</t>
  </si>
  <si>
    <t>QAR - Rial do Catar</t>
  </si>
  <si>
    <t>D010 - QAA - RJ - QUA QUINZENAL GRUPO A</t>
  </si>
  <si>
    <t>D010   	RJ - QUA QUINZENAL GRUPO A</t>
  </si>
  <si>
    <t>087-6 - Cooperativa Unicred Central Santa Catarina</t>
  </si>
  <si>
    <t>087-6</t>
  </si>
  <si>
    <t>Banco Randon S.A.</t>
  </si>
  <si>
    <t>2812700 FABRICACAO DE EQUIPAMENTOS HIDRAULICOS E PNEUMATICOS  PECAS E ACESSORI</t>
  </si>
  <si>
    <t>Z058 - 	(058) DIAS</t>
  </si>
  <si>
    <t>RMB - Iuan - China</t>
  </si>
  <si>
    <t>D010 - QAB - RJ - QUA QUINZENAL GRUPO B</t>
  </si>
  <si>
    <t>D010   	RJ - QUA QUINZENAL GRUPO B</t>
  </si>
  <si>
    <t>088-4 - Banco Randon S.A.</t>
  </si>
  <si>
    <t>088-4</t>
  </si>
  <si>
    <t>Cooperativa de Crédito Rural da Região de Mogiana</t>
  </si>
  <si>
    <t>2813500 FABRICACAO DE VALVULAS  REGISTROS E DISPOSITIVOS SEMELHANTES  PECAS E</t>
  </si>
  <si>
    <t>Z060 - 	(060) DIAS</t>
  </si>
  <si>
    <t>ROL - Leu romeno (antigo)</t>
  </si>
  <si>
    <t>D010 - QAS - RJ - QUA SEMANAL</t>
  </si>
  <si>
    <t>D010   	RJ - QUA SEMANAL</t>
  </si>
  <si>
    <t>089-2 - Cooperativa de Crédito Rural da Região de Mogiana</t>
  </si>
  <si>
    <t>089-2</t>
  </si>
  <si>
    <t>Cooperativa Central de Economia e Crédito Mutuo das Unicreds</t>
  </si>
  <si>
    <t>2814301 FABRICACAO DE COMPRESSORES PARA USO INDUSTRIAL  PECAS E ACESSORIOS</t>
  </si>
  <si>
    <t>Z065 - 	(065) DIAS</t>
  </si>
  <si>
    <t>RON - Leu romeno</t>
  </si>
  <si>
    <t>D010 - QUA - RJ - QUI QUINZENAL GRUPO A</t>
  </si>
  <si>
    <t>D010   	RJ - QUI QUINZENAL GRUPO A</t>
  </si>
  <si>
    <t>090-2 - Cooperativa Central de Economia e Crédito Mutuo das Unicreds</t>
  </si>
  <si>
    <t>090-2</t>
  </si>
  <si>
    <t>Unicred Central do Rio Grande do Sul</t>
  </si>
  <si>
    <t>2822401 FABRICACAO DE MAQUINAS  EQUIPAMENTOS E APARELHOS PARA TRANSPORTE E ELE</t>
  </si>
  <si>
    <t>Z075 - 	(075) DIAS</t>
  </si>
  <si>
    <t>RSD - Dinar sérvio</t>
  </si>
  <si>
    <t>D010 - QUB - RJ - QUI QUINZENAL GRUPO B</t>
  </si>
  <si>
    <t>D010   	RJ - QUI QUINZENAL GRUPO B</t>
  </si>
  <si>
    <t>091-4 - Unicred Central do Rio Grande do Sul</t>
  </si>
  <si>
    <t>091-4</t>
  </si>
  <si>
    <t>Brickell S.A. Crédito</t>
  </si>
  <si>
    <t>2822402 FABRICACAO DE MAQUINAS  EQUIPAMENTOS E APARELHOS PARA TRANSPORTE E ELE</t>
  </si>
  <si>
    <t>Z080 - 	(080) DIAS</t>
  </si>
  <si>
    <t>RUB - Rublo russo</t>
  </si>
  <si>
    <t>D010 - QUS - RJ - QUI SEMANAL</t>
  </si>
  <si>
    <t>D010   	RJ - QUI SEMANAL</t>
  </si>
  <si>
    <t>092-2 - Brickell S.A. Crédito, financiamento e Investimento</t>
  </si>
  <si>
    <t>092-2</t>
  </si>
  <si>
    <t>Banco Petra S.A.</t>
  </si>
  <si>
    <t>2823200 FABRICACAO DE MAQUINAS E APARELHOS DE REFRIGERACAO E VENTILACAO PARA U</t>
  </si>
  <si>
    <t>Z084 - 	(084) DIAS</t>
  </si>
  <si>
    <t>RWF - Franco Ruanda</t>
  </si>
  <si>
    <t>D010 - SEA - RJ - SEG QUINZENAL GRUPO A</t>
  </si>
  <si>
    <t>D010   	RJ - SEG QUINZENAL GRUPO A</t>
  </si>
  <si>
    <t>094-2 - Banco Petra S.A.</t>
  </si>
  <si>
    <t>094-2</t>
  </si>
  <si>
    <t>Cooperativa Central de Crédito Noroeste Brasileiro Ltda.</t>
  </si>
  <si>
    <t>2824101 FABRICACAO DE APARELHOS E EQUIPAMENTOS DE AR CONDICIONADO PARA USO IND</t>
  </si>
  <si>
    <t>Z090 - 	(090) DIAS</t>
  </si>
  <si>
    <t>SAR - Rial saudita</t>
  </si>
  <si>
    <t>D010 - SEB - RJ - SEG QUINZENAL GRUPO B</t>
  </si>
  <si>
    <t>D010   	RJ - SEG QUINZENAL GRUPO B</t>
  </si>
  <si>
    <t>097-3 - Cooperativa Central de Crédito Noroeste Brasileiro Ltda.</t>
  </si>
  <si>
    <t>097-3</t>
  </si>
  <si>
    <t>Credicorol Cooperativa de Crédito Rural</t>
  </si>
  <si>
    <t>2824102 FABRICACAO DE APARELHOS E EQUIPAMENTOS DE AR CONDICIONADO PARA USO NAO</t>
  </si>
  <si>
    <t>Z095 - 	(095) DIAS</t>
  </si>
  <si>
    <t>SBD - Dólar das Ilhas Salomão</t>
  </si>
  <si>
    <t>D010 - SES - RJ - SEG SEMANAL</t>
  </si>
  <si>
    <t>D010   	RJ - SEG SEMANAL</t>
  </si>
  <si>
    <t>098-1 - Credicorol Cooperativa de Crédito Rural</t>
  </si>
  <si>
    <t>098-1</t>
  </si>
  <si>
    <t>Cooperativa Central de Economia e Credito Mutuo das Unicreds</t>
  </si>
  <si>
    <t>2825900 FABRICACAO DE MAQUINAS E EQUIPAMENTOS PARA SANEAMENTO BASICO E AMBIENT</t>
  </si>
  <si>
    <t>Z120 - 	(120) DIAS</t>
  </si>
  <si>
    <t>SCR - Rúpia de Seychelles</t>
  </si>
  <si>
    <t>D010 - SXA - RJ - SEX QUINZENAL GRUPO A</t>
  </si>
  <si>
    <t>D010   	RJ - SEX QUINZENAL GRUPO A</t>
  </si>
  <si>
    <t>099-x - Cooperativa Central de Economia e Credito Mutuo das Unicreds</t>
  </si>
  <si>
    <t>099-x</t>
  </si>
  <si>
    <t>Banco Fiat S.A.</t>
  </si>
  <si>
    <t>2829101 FABRICACAO DE MAQUINAS DE ESCREVER  CALCULAR E OUTROS EQUIPAMENTOS NAO</t>
  </si>
  <si>
    <t>Z150 - 	(150) DIAS</t>
  </si>
  <si>
    <t>SDD - Dinar sudanês (antigo)</t>
  </si>
  <si>
    <t>D010 - SXB - RJ - SEX QUINZENAL GRUPO B</t>
  </si>
  <si>
    <t>D010   	RJ - SEX QUINZENAL GRUPO B</t>
  </si>
  <si>
    <t>M03 - Banco Fiat S.A.</t>
  </si>
  <si>
    <t>M03</t>
  </si>
  <si>
    <t>Banco de Lage Landen Brasil S.A.</t>
  </si>
  <si>
    <t>2829199 FABRICACAO DE OUTRAS MAQUINAS E EQUIPAMENTOS DE USO GERAL NAO ESPECIFI</t>
  </si>
  <si>
    <t>Z180 - 	(180) DIAS</t>
  </si>
  <si>
    <t>SDG - Libra sudanesa</t>
  </si>
  <si>
    <t>D010 - SXS - RJ - SEX SEMANAL</t>
  </si>
  <si>
    <t>D010   	RJ - SEX SEMANAL</t>
  </si>
  <si>
    <t>M06 - Banco de Lage Landen Brasil S.A.</t>
  </si>
  <si>
    <t>M06</t>
  </si>
  <si>
    <t>Banco GMAC S.A.</t>
  </si>
  <si>
    <t>2833000 FABRICACAO DE MAQUINAS E EQUIPAMENTOS PARA A AGRICULTURA E PECUARIA  P</t>
  </si>
  <si>
    <t>Z210 - 	(210) DIAS</t>
  </si>
  <si>
    <t>SDP - Libra sudanesa (até 1992)</t>
  </si>
  <si>
    <t>D010 - TEA - RJ - TER QUINZENAL GRUPO A</t>
  </si>
  <si>
    <t>D010   	RJ - TER QUINZENAL GRUPO A</t>
  </si>
  <si>
    <t>M07 - Banco GMAC S.A.</t>
  </si>
  <si>
    <t>M07</t>
  </si>
  <si>
    <t>Banco Citicard S.A.</t>
  </si>
  <si>
    <t>2840200 FABRICACAO DE MAQUINAS-FERRAMENTA  PECAS E ACESSORIOS</t>
  </si>
  <si>
    <t>Z240 - 	(240) DIAS</t>
  </si>
  <si>
    <t>SEK - Coroa sueca</t>
  </si>
  <si>
    <t>D010 - TEB - RJ - TER QUINZENAL GRUPO B</t>
  </si>
  <si>
    <t>D010   	RJ - TER QUINZENAL GRUPO B</t>
  </si>
  <si>
    <t>M08 - Banco Citicard S.A.</t>
  </si>
  <si>
    <t>M08</t>
  </si>
  <si>
    <t>Banco Itaucred Financiamentos S.A.</t>
  </si>
  <si>
    <t>2851800 FABRICACAO DE MAQUINAS E EQUIPAMENTOS PARA A PROSPECCAO E EXTRACAO DE</t>
  </si>
  <si>
    <t>SGD - Dólar de Cingapura</t>
  </si>
  <si>
    <t>D010 - TES - RJ - TER SEMANAL</t>
  </si>
  <si>
    <t>D010   	RJ - TER SEMANAL</t>
  </si>
  <si>
    <t>M09 - Banco Itaucred Financiamentos S.A.</t>
  </si>
  <si>
    <t>M09</t>
  </si>
  <si>
    <t>Banco Moneo S.A.</t>
  </si>
  <si>
    <t>2862300 FABRICACAO DE MAQUINAS E EQUIPAMENTOS PARA AS INDUSTRIAS DE ALIMENTOS</t>
  </si>
  <si>
    <t>SHP - Libra de Santa Helena</t>
  </si>
  <si>
    <t>D011 - DIA - DIARIO</t>
  </si>
  <si>
    <t>D011   DIA DIARIO</t>
  </si>
  <si>
    <t>M10 - Banco Moneo S.A.</t>
  </si>
  <si>
    <t>M10</t>
  </si>
  <si>
    <t>Banco IBM S.A.</t>
  </si>
  <si>
    <t>2869100 FABRICACAO DE MAQUINAS E EQUIPAMENTOS PARA USO INDUSTRIAL ESPECIFICO N</t>
  </si>
  <si>
    <t>SIT - Tolar esloveno  (obsoleto --&gt; EUR)</t>
  </si>
  <si>
    <t>D011 - QAA - RJ - QUA QUINZENAL GRUPO A</t>
  </si>
  <si>
    <t>D011   	RJ - QUA QUINZENAL GRUPO A</t>
  </si>
  <si>
    <t>M11 - Banco IBM S.A.</t>
  </si>
  <si>
    <t>M11</t>
  </si>
  <si>
    <t>Banco Maxinvest S.A.</t>
  </si>
  <si>
    <t>2910701 FABRICACAO DE AUTOMOVEIS  CAMIONETAS E UTILITARIOS</t>
  </si>
  <si>
    <t>SKK - Coroa eslovaca  (obsoleto --&gt; EUR)</t>
  </si>
  <si>
    <t>D011 - QAB - RJ - QUA QUINZENAL GRUPO B</t>
  </si>
  <si>
    <t>D011   	RJ - QUA QUINZENAL GRUPO B</t>
  </si>
  <si>
    <t>M12 - Banco Maxinvest S.A.</t>
  </si>
  <si>
    <t>M12</t>
  </si>
  <si>
    <t>Banco Tricury S.A.</t>
  </si>
  <si>
    <t>2920401 FABRICACAO DE CAMINHOES E ONIBUS</t>
  </si>
  <si>
    <t>SLL - Leone - Serra Leoa</t>
  </si>
  <si>
    <t>D011 - QAS - RJ - QUA SEMANAL</t>
  </si>
  <si>
    <t>D011   	RJ - QUA SEMANAL</t>
  </si>
  <si>
    <t>M13 - Banco Tricury S.A.</t>
  </si>
  <si>
    <t>M13</t>
  </si>
  <si>
    <t>Banco Volkswagen S.A.</t>
  </si>
  <si>
    <t>2920402 FABRICACAO DE MOTORES PARA CAMINHOES E ONIBUS</t>
  </si>
  <si>
    <t>SOS - Xelim somaliano</t>
  </si>
  <si>
    <t>D011 - QUA - RJ - QUI QUINZENAL GRUPO A</t>
  </si>
  <si>
    <t>D011   	RJ - QUI QUINZENAL GRUPO A</t>
  </si>
  <si>
    <t>M14 - Banco Volkswagen S.A.</t>
  </si>
  <si>
    <t>M14</t>
  </si>
  <si>
    <t>Banco BRJ S.A.</t>
  </si>
  <si>
    <t>2930101 FABRICACAO DE CABINES  CARROCERIAS E REBOQUES PARA CAMINHOES</t>
  </si>
  <si>
    <t>SRD - Dólar Suriname</t>
  </si>
  <si>
    <t>D011 - QUB - RJ - QUI QUINZENAL GRUPO B</t>
  </si>
  <si>
    <t>D011   	RJ - QUI QUINZENAL GRUPO B</t>
  </si>
  <si>
    <t>M15 - Banco BRJ S.A.</t>
  </si>
  <si>
    <t>M15</t>
  </si>
  <si>
    <t>Banco Rodobens S.A.</t>
  </si>
  <si>
    <t>2930102 FABRICACAO DE CARROCERIAS PARA ONIBUS</t>
  </si>
  <si>
    <t>SRG - Florim do Suriname (antigo)</t>
  </si>
  <si>
    <t>D011 - QUS - RJ - QUI SEMANAL</t>
  </si>
  <si>
    <t>D011   	RJ - QUI SEMANAL</t>
  </si>
  <si>
    <t>M16 - Banco Rodobens S.A.</t>
  </si>
  <si>
    <t>M16</t>
  </si>
  <si>
    <t>Banco Ourinvest S.A.</t>
  </si>
  <si>
    <t>2941700 FABRICACAO DE PECAS E ACESSORIOS PARA O SISTEMA MOTOR DE VEICULOS AUTO</t>
  </si>
  <si>
    <t>SSP - Libras sudanesas</t>
  </si>
  <si>
    <t>D011 - SEA - RJ - SEG QUINZENAL GRUPO A</t>
  </si>
  <si>
    <t>D011   	RJ - SEG QUINZENAL GRUPO A</t>
  </si>
  <si>
    <t>M17 - Banco Ourinvest S.A.</t>
  </si>
  <si>
    <t>M17</t>
  </si>
  <si>
    <t>Banco Ford S.A.</t>
  </si>
  <si>
    <t>2942500 FABRICACAO DE PECAS E ACESSORIOS PARA OS SISTEMAS DE MARCHA E TRANSMIS</t>
  </si>
  <si>
    <t>STD - Dobra - São Tomé e Príncipe</t>
  </si>
  <si>
    <t>D011 - SEB - RJ - SEG QUINZENAL GRUPO B</t>
  </si>
  <si>
    <t>D011   	RJ - SEG QUINZENAL GRUPO B</t>
  </si>
  <si>
    <t>M18 - Banco Ford S.A.</t>
  </si>
  <si>
    <t>M18</t>
  </si>
  <si>
    <t>Banco CNH Capital S.A.</t>
  </si>
  <si>
    <t>2944100 FABRICACAO DE PECAS E ACESSORIOS PARA O SISTEMA DE DIRECAO E SUSPENSAO</t>
  </si>
  <si>
    <t>SVC - Cólon salvadorenho</t>
  </si>
  <si>
    <t>D011 - SES - RJ - SEG SEMANAL</t>
  </si>
  <si>
    <t>D011   	RJ - SEG SEMANAL</t>
  </si>
  <si>
    <t>M19 - Banco CNH Capital S.A.</t>
  </si>
  <si>
    <t>M19</t>
  </si>
  <si>
    <t>Banco Toyota do Brasil S.A.</t>
  </si>
  <si>
    <t>2945000 FABRICACAO DE MATERIAL ELETRICO E ELETRONICO PARA VEICULOS AUTOMOTORES</t>
  </si>
  <si>
    <t>SYP - Libra síria</t>
  </si>
  <si>
    <t>D011 - SXA - RJ - SEX QUINZENAL GRUPO A</t>
  </si>
  <si>
    <t>D011   	RJ - SEX QUINZENAL GRUPO A</t>
  </si>
  <si>
    <t>M20 - Banco Toyota do Brasil S.A.</t>
  </si>
  <si>
    <t>M20</t>
  </si>
  <si>
    <t>Banco Daimlerchrysler S.A.</t>
  </si>
  <si>
    <t>2949299 FABRICACAO DE OUTRAS PECAS E ACESSORIOS PARA VEICULOS AUTOMOTORES NAO</t>
  </si>
  <si>
    <t>SZL - Lilangeni - Suazilândia</t>
  </si>
  <si>
    <t>D011 - SXB - RJ - SEX QUINZENAL GRUPO B</t>
  </si>
  <si>
    <t>D011   	RJ - SEX QUINZENAL GRUPO B</t>
  </si>
  <si>
    <t>M21 - Banco Daimlerchrysler S.A.</t>
  </si>
  <si>
    <t>M21</t>
  </si>
  <si>
    <t>Banco Honda S.A.</t>
  </si>
  <si>
    <t>3011302 CONSTRUCAO DE EMBARCACOES PARA USO COMERCIAL E PARA USOS ESPECIAIS  EX</t>
  </si>
  <si>
    <t>THB - Baht - Tailândia</t>
  </si>
  <si>
    <t>D011 - SXS - RJ - SEX SEMANAL</t>
  </si>
  <si>
    <t>D011   	RJ - SEX SEMANAL</t>
  </si>
  <si>
    <t>M22 - Banco Honda S.A.</t>
  </si>
  <si>
    <t>M22</t>
  </si>
  <si>
    <t>Banco Volvo (Brasil) S.A.</t>
  </si>
  <si>
    <t>3101200 FABRICACAO DE MOVEIS COM PREDOMINANCIA DE MADEIRA</t>
  </si>
  <si>
    <t>TJR - Rublo do Tadjiquistão (antigo)</t>
  </si>
  <si>
    <t>D011 - TEA - RJ - TER QUINZENAL GRUPO A</t>
  </si>
  <si>
    <t>D011   	RJ - TER QUINZENAL GRUPO A</t>
  </si>
  <si>
    <t>M23 - Banco Volvo (Brasil) S.A.</t>
  </si>
  <si>
    <t>M23</t>
  </si>
  <si>
    <t>Banco PSA Finance Brasil S.A.</t>
  </si>
  <si>
    <t>3102100 FABRICACAO DE MOVEIS COM PREDOMINANCIA DE METAL</t>
  </si>
  <si>
    <t>TJS - Somoni do Tadjiquistão</t>
  </si>
  <si>
    <t>D011 - TEB - RJ - TER QUINZENAL GRUPO B</t>
  </si>
  <si>
    <t>D011   	RJ - TER QUINZENAL GRUPO B</t>
  </si>
  <si>
    <t>M24 - Banco PSA Finance Brasil S.A.</t>
  </si>
  <si>
    <t>M24</t>
  </si>
  <si>
    <t>3212400 FABRICACAO DE BIJUTERIAS E ARTEFATOS SEMELHANTES</t>
  </si>
  <si>
    <t>TMM - Manat turcomano (antigo)</t>
  </si>
  <si>
    <t>D011 - TES - RJ - TER SEMANAL</t>
  </si>
  <si>
    <t>D011   	RJ - TER SEMANAL</t>
  </si>
  <si>
    <t>3230200 FABRICACAO DE ARTEFATOS PARA PESCA E ESPORTE</t>
  </si>
  <si>
    <t>TMT - Manat turcomano</t>
  </si>
  <si>
    <t>D012 - DIA - DIARIO</t>
  </si>
  <si>
    <t>D012   DIA DIARIO</t>
  </si>
  <si>
    <t>3250701 FABRICACAO DE INSTRUMENTOS NAO-ELETRONICOS E UTENSILIOS PARA USO MEDIC</t>
  </si>
  <si>
    <t>TND - Dinar tunisiano</t>
  </si>
  <si>
    <t>D012 - QAA - RJ - QUA QUINZENAL GRUPO A</t>
  </si>
  <si>
    <t>D012   	RJ - QUA QUINZENAL GRUPO A</t>
  </si>
  <si>
    <t>3250702 FABRICACAO DE MOBILIARIO PARA USO MEDICO  CIRURGICO  ODONTOLOGICO E DE</t>
  </si>
  <si>
    <t>TOP - Pa'anga - Tonga</t>
  </si>
  <si>
    <t>D012 - QAB - RJ - QUA QUINZENAL GRUPO B</t>
  </si>
  <si>
    <t>D012   	RJ - QUA QUINZENAL GRUPO B</t>
  </si>
  <si>
    <t>3250705 FABRICACAO DE MATERIAIS PARA MEDICINA E ODONTOLOGIA</t>
  </si>
  <si>
    <t>TPE - Escudo de Timor --&gt; USD</t>
  </si>
  <si>
    <t>D012 - QAS - RJ - QUA SEMANAL</t>
  </si>
  <si>
    <t>D012   	RJ - QUA SEMANAL</t>
  </si>
  <si>
    <t>3250707 FABRICACAO DE ARTIGOS OPTICOS</t>
  </si>
  <si>
    <t>TRL - Lira turca (antigo)</t>
  </si>
  <si>
    <t>D012 - QUA - RJ - QUI QUINZENAL GRUPO A</t>
  </si>
  <si>
    <t>D012   	RJ - QUI QUINZENAL GRUPO A</t>
  </si>
  <si>
    <t>3292202 FABRICACAO DE EQUIPAMENTOS E ACESSORIOS PARA SEGURANCA PESSOAL E PROFI</t>
  </si>
  <si>
    <t>TRY - Lira turca</t>
  </si>
  <si>
    <t>D012 - QUB - RJ - QUI QUINZENAL GRUPO B</t>
  </si>
  <si>
    <t>D012   	RJ - QUI QUINZENAL GRUPO B</t>
  </si>
  <si>
    <t>3299002 FABRICACAO DE CANETAS  LAPIS E OUTROS ARTIGOS PARA ESCRITORIO</t>
  </si>
  <si>
    <t>TTD - Dólar de Trinidad e Tobago</t>
  </si>
  <si>
    <t>D012 - QUS - RJ - QUI SEMANAL</t>
  </si>
  <si>
    <t>D012   	RJ - QUI SEMANAL</t>
  </si>
  <si>
    <t>3299003 FABRICACAO DE LETRAS  LETREIROS E PLACAS DE QUALQUER MATERIAL  EXCETO</t>
  </si>
  <si>
    <t>TWD - Dólar de Formosa</t>
  </si>
  <si>
    <t>D012 - SEA - RJ - SEG QUINZENAL GRUPO A</t>
  </si>
  <si>
    <t>D012   	RJ - SEG QUINZENAL GRUPO A</t>
  </si>
  <si>
    <t>3299004 FABRICACAO DE PAINEIS E LETREIROS LUMINOSOS</t>
  </si>
  <si>
    <t>TZS - Xelim tanzaniano</t>
  </si>
  <si>
    <t>D012 - SEB - RJ - SEG QUINZENAL GRUPO B</t>
  </si>
  <si>
    <t>D012   	RJ - SEG QUINZENAL GRUPO B</t>
  </si>
  <si>
    <t>3299099 FABRICACAO DE PRODUTOS DIVERSOS NAO ESPECIFICADOS ANTERIORMENTE</t>
  </si>
  <si>
    <t>UAH - Hrzvnia da Ucrânia</t>
  </si>
  <si>
    <t>D012 - SES - RJ - SEG SEMANAL</t>
  </si>
  <si>
    <t>D012   	RJ - SEG SEMANAL</t>
  </si>
  <si>
    <t>3311200 MANUTENCAO E REPARACAO DE TANQUES  RESERVATORIOS METALICOS E CALDEIRAS</t>
  </si>
  <si>
    <t xml:space="preserve">UF - </t>
  </si>
  <si>
    <t>D012 - SXA - RJ - SEX QUINZENAL GRUPO A</t>
  </si>
  <si>
    <t>D012   	RJ - SEX QUINZENAL GRUPO A</t>
  </si>
  <si>
    <t>3312102 MANUTENCAO E REPARACAO DE APARELHOS E INSTRUMENTOS DE MEDIDA  TESTE E</t>
  </si>
  <si>
    <t>UGX - Xelima de Uganda</t>
  </si>
  <si>
    <t>D012 - SXB - RJ - SEX QUINZENAL GRUPO B</t>
  </si>
  <si>
    <t>D012   	RJ - SEX QUINZENAL GRUPO B</t>
  </si>
  <si>
    <t>3312103 MANUTENCAO E REPARACAO DE APARELHOS ELETROMEDICOS E ELETROTERAPEUTICOS</t>
  </si>
  <si>
    <t>USD - Dólar americano</t>
  </si>
  <si>
    <t>D012 - SXS - RJ - SEX SEMANAL</t>
  </si>
  <si>
    <t>D012   	RJ - SEX SEMANAL</t>
  </si>
  <si>
    <t>3312104 MANUTENCAO E REPARACAO DE EQUIPAMENTOS E INSTRUMENTOS OPTICOS</t>
  </si>
  <si>
    <t>USDN - (Inter.) Dólar americano (5 casas decs.)</t>
  </si>
  <si>
    <t>D012 - TEA - RJ - TER QUINZENAL GRUPO A</t>
  </si>
  <si>
    <t>D012   	RJ - TER QUINZENAL GRUPO A</t>
  </si>
  <si>
    <t>3313901 MANUTENCAO E REPARACAO DE GERADORES  TRANSFORMADORES E MOTORES ELETRIC</t>
  </si>
  <si>
    <t xml:space="preserve">UTM - </t>
  </si>
  <si>
    <t>D012 - TEB - RJ - TER QUINZENAL GRUPO B</t>
  </si>
  <si>
    <t>D012   	RJ - TER QUINZENAL GRUPO B</t>
  </si>
  <si>
    <t>3313999 MANUTENCAO E REPARACAO DE MAQUINAS  APARELHOS E MATERIAIS ELETRICOS NA</t>
  </si>
  <si>
    <t>UYU - Peso uruguaio</t>
  </si>
  <si>
    <t>D012 - TES - RJ - TER SEMANAL</t>
  </si>
  <si>
    <t>D012   RJ - TER SEMANAL</t>
  </si>
  <si>
    <t>3314702 MANUTENCAO E REPARACAO DE EQUIPAMENTOS HIDRAULICOS E PNEUMATICOS  EXCE</t>
  </si>
  <si>
    <t>UZS - Sum do Uzbequistão</t>
  </si>
  <si>
    <t>D013 - DIA - DIARIO</t>
  </si>
  <si>
    <t>D013   DIA DIARIO</t>
  </si>
  <si>
    <t>3314704 MANUTENCAO E REPARACAO DE COMPRESSORES</t>
  </si>
  <si>
    <t>VEB - Bolívar venezuelano (antigo)</t>
  </si>
  <si>
    <t>D013 - QAA - RJ - QUA QUINZENAL GRUPO A</t>
  </si>
  <si>
    <t>D013   	RJ - QUA QUINZENAL GRUPO A</t>
  </si>
  <si>
    <t>3314707 MANUTENCAO E REPARACAO DE MAQUINAS E APARELHOS DE REFRIGERACAO E VENTI</t>
  </si>
  <si>
    <t>VEF - Bolívar - Venezuela</t>
  </si>
  <si>
    <t>D013 - QAB - RJ - QUA QUINZENAL GRUPO B</t>
  </si>
  <si>
    <t>D013   	RJ - QUA QUINZENAL GRUPO B</t>
  </si>
  <si>
    <t>3314710 MANUTENCAO E REPARACAO DE MAQUINAS E EQUIPAMENTOS PARA USO GERAL NAO E</t>
  </si>
  <si>
    <t>VND - Dong - Vietnã</t>
  </si>
  <si>
    <t>D013 - QAS - RJ - QUA SEMANAL</t>
  </si>
  <si>
    <t>D013   	RJ - QUA SEMANAL</t>
  </si>
  <si>
    <t>3314713 MANUTENCAO E REPARACAO DE MAQUINAS-FERRAMENTA</t>
  </si>
  <si>
    <t>VUV - Vatu - Vanuatu</t>
  </si>
  <si>
    <t>D013 - QUA - RJ - QUI QUINZENAL GRUPO A</t>
  </si>
  <si>
    <t>D013   	RJ - QUI QUINZENAL GRUPO A</t>
  </si>
  <si>
    <t>3314719 MANUTENCAO E REPARACAO DE MAQUINAS E EQUIPAMENTOS PARA AS INDUSTRIAS D</t>
  </si>
  <si>
    <t>WST - Tala - Samoa</t>
  </si>
  <si>
    <t>D013 - QUB - RJ - QUI QUINZENAL GRUPO B</t>
  </si>
  <si>
    <t>D013   	RJ - QUI QUINZENAL GRUPO B</t>
  </si>
  <si>
    <t>3314799 MANUTENCAO E REPARACAO DE OUTRAS MAQUINAS E EQUIPAMENTOS PARA USOS IND</t>
  </si>
  <si>
    <t>XAF - Franco CFA</t>
  </si>
  <si>
    <t>D013 - QUS - RJ - QUI SEMANAL</t>
  </si>
  <si>
    <t>D013   	RJ - QUI SEMANAL</t>
  </si>
  <si>
    <t>3316301 MANUTENCAO E REPARACAO DE AERONAVES  EXCETO A MANUTENCAO NA PISTA</t>
  </si>
  <si>
    <t>XCD - Dólar do Caribe Oriental</t>
  </si>
  <si>
    <t>D013 - SEA - RJ - SEG QUINZENAL GRUPO A</t>
  </si>
  <si>
    <t>D013   	RJ - SEG QUINZENAL GRUPO A</t>
  </si>
  <si>
    <t>3319800 MANUTENCAO E REPARACAO DE EQUIPAMENTOS E PRODUTOS NAO ESPECIFICADOS AN</t>
  </si>
  <si>
    <t>XEU - Unidade Monetária Européia (E.C.U.)</t>
  </si>
  <si>
    <t>D013 - SEB - RJ - SEG QUINZENAL GRUPO B</t>
  </si>
  <si>
    <t>D013   	RJ - SEG QUINZENAL GRUPO B</t>
  </si>
  <si>
    <t>3321000 INSTALACAO DE MAQUINAS E EQUIPAMENTOS INDUSTRIAIS</t>
  </si>
  <si>
    <t>XOF - Franco CFA</t>
  </si>
  <si>
    <t>D013 - SES - RJ - SEG SEMANAL</t>
  </si>
  <si>
    <t>D013   	RJ - SEG SEMANAL</t>
  </si>
  <si>
    <t>3329501 SERVICOS DE MONTAGEM DE MOVEIS DE QUALQUER MATERIAL</t>
  </si>
  <si>
    <t>XPF - CFP Franco</t>
  </si>
  <si>
    <t>D013 - SXA - RJ - SEX QUINZENAL GRUPO A</t>
  </si>
  <si>
    <t>D013   	RJ - SEX QUINZENAL GRUPO A</t>
  </si>
  <si>
    <t>3329599 INSTALACAO DE OUTROS EQUIPAMENTOS NAO ESPECIFICADOS ANTERIORMENTE</t>
  </si>
  <si>
    <t>YER - Rial iemenita</t>
  </si>
  <si>
    <t>D013 - SXB - RJ - SEX QUINZENAL GRUPO B</t>
  </si>
  <si>
    <t>D013   	RJ - SEX QUINZENAL GRUPO B</t>
  </si>
  <si>
    <t>3511501 GERACAO DE ENERGIA ELETRICA</t>
  </si>
  <si>
    <t>YUM - Novo dinar iugoslavo (antigo)</t>
  </si>
  <si>
    <t>D013 - SXS - RJ - SEX SEMANAL</t>
  </si>
  <si>
    <t>D013   	RJ - SEX SEMANAL</t>
  </si>
  <si>
    <t>3512300 TRANSMISSAO DE ENERGIA ELETRICA</t>
  </si>
  <si>
    <t>ZAR - Rande - África do Sul</t>
  </si>
  <si>
    <t>D013 - TEA - RJ - TER QUINZENAL GRUPO A</t>
  </si>
  <si>
    <t>D013   	RJ - TER QUINZENAL GRUPO A</t>
  </si>
  <si>
    <t>3513100 COMERCIO ATACADISTA DE ENERGIA ELETRICA</t>
  </si>
  <si>
    <t>ZMK - Cuacha zambiana (obsoleta)</t>
  </si>
  <si>
    <t>D013 - TEB - RJ - TER QUINZENAL GRUPO B</t>
  </si>
  <si>
    <t>D013   	RJ - TER QUINZENAL GRUPO B</t>
  </si>
  <si>
    <t>3514000 DISTRIBUICAO DE ENERGIA ELETRICA</t>
  </si>
  <si>
    <t>ZMW - Cuacha zambiana (nova)</t>
  </si>
  <si>
    <t>D013 - TES - RJ - TER SEMANAL</t>
  </si>
  <si>
    <t>D013   	RJ - TER SEMANAL</t>
  </si>
  <si>
    <t>3520401 PRODUCAO DE GAS  PROCESSAMENTO DE GAS NATURAL</t>
  </si>
  <si>
    <t>ZRN - Zaire (ant.)</t>
  </si>
  <si>
    <t>D014 - DIA - DIARIO</t>
  </si>
  <si>
    <t>D014   DIA DIARIO</t>
  </si>
  <si>
    <t>3600601 CAPTACAO  TRATAMENTO E DISTRIBUICAO DE AGUA</t>
  </si>
  <si>
    <t>ZWD - Dólar zimbabuano (antigo)</t>
  </si>
  <si>
    <t>D014 - QAA - RJ - QUA QUINZENAL GRUPO A</t>
  </si>
  <si>
    <t>D014   	RJ - QUA QUINZENAL GRUPO A</t>
  </si>
  <si>
    <t>3600602 DISTRIBUICAO DE AGUA POR CAMINHOES</t>
  </si>
  <si>
    <t>ZWL - Dólar zimbabuano (novo)</t>
  </si>
  <si>
    <t>D014 - QAB - RJ - QUA QUINZENAL GRUPO B</t>
  </si>
  <si>
    <t>D014   	RJ - QUA QUINZENAL GRUPO B</t>
  </si>
  <si>
    <t>3702900 ATIVIDADES RELACIONADAS A ESGOTO  EXCETO A GESTAO DE REDES</t>
  </si>
  <si>
    <t>ZWN - Dólar zimbabuano (antigo)</t>
  </si>
  <si>
    <t>D014 - QAS - RJ - QUA SEMANAL</t>
  </si>
  <si>
    <t>D014   	RJ - QUA SEMANAL</t>
  </si>
  <si>
    <t>3811400 COLETA DE RESIDUOS NAO-PERIGOSOS</t>
  </si>
  <si>
    <t>ZWR - Dólar zimbabuano (antigo)</t>
  </si>
  <si>
    <t>D014 - QUA - RJ - QUI QUINZENAL GRUPO A</t>
  </si>
  <si>
    <t>D014   	RJ - QUI QUINZENAL GRUPO A</t>
  </si>
  <si>
    <t>3812200 COLETA DE RESIDUOS PERIGOSOS</t>
  </si>
  <si>
    <t>D014 - QUB - RJ - QUI QUINZENAL GRUPO B</t>
  </si>
  <si>
    <t>D014   	RJ - QUI QUINZENAL GRUPO B</t>
  </si>
  <si>
    <t>3822000 TRATAMENTO E DISPOSICAO DE RESIDUOS PERIGOSOS</t>
  </si>
  <si>
    <t>D014 - QUS - RJ - QUI SEMANAL</t>
  </si>
  <si>
    <t>D014   	RJ - QUI SEMANAL</t>
  </si>
  <si>
    <t>3839499 RECUPERACAO DE MATERIAIS NAO ESPECIFICADOS ANTERIORMENTE</t>
  </si>
  <si>
    <t>D014 - SEA - RJ - SEG QUINZENAL GRUPO A</t>
  </si>
  <si>
    <t>D014   	RJ - SEG QUINZENAL GRUPO A</t>
  </si>
  <si>
    <t>4110700 INCORPORACAO DE EMPREENDIMENTOS IMOBILIARIOS</t>
  </si>
  <si>
    <t>D014 - SEB - RJ - SEG QUINZENAL GRUPO B</t>
  </si>
  <si>
    <t>D014   	RJ - SEG QUINZENAL GRUPO B</t>
  </si>
  <si>
    <t>4120400 CONSTRUCAO DE EDIFICIOS</t>
  </si>
  <si>
    <t>D014 - SES - RJ - SEG SEMANAL</t>
  </si>
  <si>
    <t>D014   	RJ - SEG SEMANAL</t>
  </si>
  <si>
    <t>4211101 CONSTRUCAO DE RODOVIAS E FERROVIAS</t>
  </si>
  <si>
    <t>D014 - SXA - RJ - SEX QUINZENAL GRUPO A</t>
  </si>
  <si>
    <t>D014   	RJ - SEX QUINZENAL GRUPO A</t>
  </si>
  <si>
    <t>4212000 CONSTRUCAO DE OBRAS DE ARTE ESPECIAIS</t>
  </si>
  <si>
    <t>D014 - SXB - RJ - SEX QUINZENAL GRUPO B</t>
  </si>
  <si>
    <t>D014   	RJ - SEX QUINZENAL GRUPO B</t>
  </si>
  <si>
    <t>4221902 CONSTRUCAO DE ESTACOES E REDES DE DISTRIBUICAO DE ENERGIA ELETRICA</t>
  </si>
  <si>
    <t>D014 - SXS - RJ - SEX SEMANAL</t>
  </si>
  <si>
    <t>D014   	RJ - SEX SEMANAL</t>
  </si>
  <si>
    <t>4221904 CONSTRUCAO DE ESTACOES E REDES DE TELECOMUNICACOES</t>
  </si>
  <si>
    <t>D014 - TEA - RJ - TER QUINZENAL GRUPO A</t>
  </si>
  <si>
    <t>D014   	RJ - TER QUINZENAL GRUPO A</t>
  </si>
  <si>
    <t>4221905 MANUTENCAO DE ESTACOES E REDES DE TELECOMUNICACOES</t>
  </si>
  <si>
    <t>D014 - TEB - RJ - TER QUINZENAL GRUPO B</t>
  </si>
  <si>
    <t>D014   	RJ - TER QUINZENAL GRUPO B</t>
  </si>
  <si>
    <t>4299501 CONSTRUCAO DE INSTALACOES ESPORTIVAS E RECREATIVAS</t>
  </si>
  <si>
    <t>D014 - TES - RJ - TER SEMANAL</t>
  </si>
  <si>
    <t>D014   	RJ - TER SEMANAL</t>
  </si>
  <si>
    <t>4299599 OUTRAS OBRAS DE ENGENHARIA CIVIL NAO ESPECIFICADAS ANTERIORMENTE</t>
  </si>
  <si>
    <t>D015 - DIA - DIARIO</t>
  </si>
  <si>
    <t>D015   DIA DIARIO</t>
  </si>
  <si>
    <t>4313400 OBRAS DE TERRAPLENAGEM</t>
  </si>
  <si>
    <t>D015 - QAA - RJ - QUA QUINZENAL GRUPO A</t>
  </si>
  <si>
    <t>D015   	RJ - QUA QUINZENAL GRUPO A</t>
  </si>
  <si>
    <t>4321500 INSTALACAO E MANUTENCAO ELETRICA</t>
  </si>
  <si>
    <t>D015 - QAB - RJ - QUA QUINZENAL GRUPO B</t>
  </si>
  <si>
    <t>D015   	RJ - QUA QUINZENAL GRUPO B</t>
  </si>
  <si>
    <t>4322301 INSTALACOES HIDRAULICAS  SANITARIAS E DE GAS</t>
  </si>
  <si>
    <t>D015 - QAS - RJ - QUA SEMANAL</t>
  </si>
  <si>
    <t>D015   	RJ - QUA SEMANAL</t>
  </si>
  <si>
    <t>4322302 INSTALACAO E MANUTENCAO DE SISTEMAS CENTRAIS DE AR CONDICIONADO  DE VE</t>
  </si>
  <si>
    <t>D015 - QUA - RJ - QUI QUINZENAL GRUPO A</t>
  </si>
  <si>
    <t>D015   	RJ - QUI QUINZENAL GRUPO A</t>
  </si>
  <si>
    <t>4322303 INSTALACOES DE SISTEMA DE PREVENCAO CONTRA INCENDIO</t>
  </si>
  <si>
    <t>D015 - QUB - RJ - QUI QUINZENAL GRUPO B</t>
  </si>
  <si>
    <t>D015   	RJ - QUI QUINZENAL GRUPO B</t>
  </si>
  <si>
    <t>4329101 INSTALACAO DE PAINEIS PUBLICITARIOS</t>
  </si>
  <si>
    <t>D015 - QUS - RJ - QUI SEMANAL</t>
  </si>
  <si>
    <t>D015   	RJ - QUI SEMANAL</t>
  </si>
  <si>
    <t>4329103 INSTALACAO  MANUTENCAO E REPARACAO DE ELEVADORES  ESCADAS E ESTEIRAS R</t>
  </si>
  <si>
    <t>D015 - SEA - RJ - SEG QUINZENAL GRUPO A</t>
  </si>
  <si>
    <t>D015   	RJ - SEG QUINZENAL GRUPO A</t>
  </si>
  <si>
    <t>4329105 TRATAMENTOS TERMICOS  ACUSTICOS OU DE VIBRACAO</t>
  </si>
  <si>
    <t>D015 - SEB - RJ - SEG QUINZENAL GRUPO B</t>
  </si>
  <si>
    <t>D015   	RJ - SEG QUINZENAL GRUPO B</t>
  </si>
  <si>
    <t>4330401 IMPERMEABILIZACAO EM OBRAS DE ENGENHARIA CIVIL</t>
  </si>
  <si>
    <t>D015 - SES - RJ - SEG SEMANAL</t>
  </si>
  <si>
    <t>D015   	RJ - SEG SEMANAL</t>
  </si>
  <si>
    <t>4330402 INSTALACAO DE PORTAS  JANELAS  TETOS  DIVISORIAS E ARMARIOS EMBUTIDOS</t>
  </si>
  <si>
    <t>D015 - SXA - RJ - SEX QUINZENAL GRUPO A</t>
  </si>
  <si>
    <t>D015   	RJ - SEX QUINZENAL GRUPO A</t>
  </si>
  <si>
    <t>4330403 OBRAS DE ACABAMENTO EM GESSO E ESTUQUE</t>
  </si>
  <si>
    <t>D015 - SXB - RJ - SEX QUINZENAL GRUPO B</t>
  </si>
  <si>
    <t>D015   	RJ - SEX QUINZENAL GRUPO B</t>
  </si>
  <si>
    <t>4330404 SERVICOS DE PINTURA DE EDIFICIOS EM GERAL</t>
  </si>
  <si>
    <t>D015 - SXS - RJ - SEX SEMANAL</t>
  </si>
  <si>
    <t>D015   	RJ - SEX SEMANAL</t>
  </si>
  <si>
    <t>4330405 APLICACAO DE REVESTIMENTOS E DE RESINAS EM INTERIORES E EXTERIORES</t>
  </si>
  <si>
    <t>D015 - TEA - RJ - TER QUINZENAL GRUPO A</t>
  </si>
  <si>
    <t>D015   	RJ - TER QUINZENAL GRUPO A</t>
  </si>
  <si>
    <t>4330499 OUTRAS OBRAS DE ACABAMENTO DA CONSTRUCAO</t>
  </si>
  <si>
    <t>D015 - TEB - RJ - TER QUINZENAL GRUPO B</t>
  </si>
  <si>
    <t>D015   	RJ - TER QUINZENAL GRUPO B</t>
  </si>
  <si>
    <t>4391600 OBRAS DE FUNDACOES</t>
  </si>
  <si>
    <t>D015 - TES - RJ - TER SEMANAL</t>
  </si>
  <si>
    <t>D015   RJ - TER SEMANAL</t>
  </si>
  <si>
    <t>4399101 ADMINISTRACAO DE OBRAS</t>
  </si>
  <si>
    <t>D016 - DIA - DIARIO</t>
  </si>
  <si>
    <t>D016   DIA DIARIO</t>
  </si>
  <si>
    <t>4399103 OBRAS DE ALVENARIA</t>
  </si>
  <si>
    <t>D016 - QAA - RJ - QUA QUINZENAL GRUPO A</t>
  </si>
  <si>
    <t>D016   	RJ - QUA QUINZENAL GRUPO A</t>
  </si>
  <si>
    <t>4399104 SERVICOS DE OPERACAO E FORNECIMENTO DE EQUIPAMENTOS PARA TRANSPORTE E</t>
  </si>
  <si>
    <t>D016 - QAB - RJ - QUA QUINZENAL GRUPO B</t>
  </si>
  <si>
    <t>D016   	RJ - QUA QUINZENAL GRUPO B</t>
  </si>
  <si>
    <t>4399199 SERVICOS ESPECIALIZADOS PARA CONSTRUCAO NAO ESPECIFICADOS ANTERIORMENT</t>
  </si>
  <si>
    <t>D016 - QAS - RJ - QUA SEMANAL</t>
  </si>
  <si>
    <t>D016   	RJ - QUA SEMANAL</t>
  </si>
  <si>
    <t>4511101 COMERCIO A VAREJO DE AUTOMOVEIS  CAMIONETAS E UTILITARIOS NOVOS</t>
  </si>
  <si>
    <t>D016 - QUA - RJ - QUI QUINZENAL GRUPO A</t>
  </si>
  <si>
    <t>D016   	RJ - QUI QUINZENAL GRUPO A</t>
  </si>
  <si>
    <t>4511102 COMERCIO A VAREJO DE AUTOMOVEIS  CAMIONETAS E UTILITARIOS USADOS</t>
  </si>
  <si>
    <t>D016 - QUB - RJ - QUI QUINZENAL GRUPO B</t>
  </si>
  <si>
    <t>D016   	RJ - QUI QUINZENAL GRUPO B</t>
  </si>
  <si>
    <t>4511103 COMERCIO POR ATACADO DE AUTOMOVEIS  CAMIONETAS E UTILITARIOS NOVOS E U</t>
  </si>
  <si>
    <t>D016 - QUS - RJ - QUI SEMANAL</t>
  </si>
  <si>
    <t>D016   	RJ - QUI SEMANAL</t>
  </si>
  <si>
    <t>4511104 COMERCIO POR ATACADO DE CAMINHOES NOVOS E USADOS</t>
  </si>
  <si>
    <t>D016 - SEA - RJ - SEG QUINZENAL GRUPO A</t>
  </si>
  <si>
    <t>D016   	RJ - SEG QUINZENAL GRUPO A</t>
  </si>
  <si>
    <t>4520001 SERVICOS DE MANUTENCAO E REPARACAO MECANICA DE VEICULOS AUTOMOTORES</t>
  </si>
  <si>
    <t>D016 - SEB - RJ - SEG QUINZENAL GRUPO B</t>
  </si>
  <si>
    <t>D016   	RJ - SEG QUINZENAL GRUPO B</t>
  </si>
  <si>
    <t>4520002 SERVICOS DE LANTERNAGEM OU FUNILARIA E PINTURA DE VEICULOS AUTOMOTORES</t>
  </si>
  <si>
    <t>D016 - SES - RJ - SEG SEMANAL</t>
  </si>
  <si>
    <t>D016   	RJ - SEG SEMANAL</t>
  </si>
  <si>
    <t>4520003 SERVICOS DE MANUTENCAO E REPARACAO ELETRICA DE VEICULOS AUTOMOTORES</t>
  </si>
  <si>
    <t>D016 - SXA - RJ - SEX QUINZENAL GRUPO A</t>
  </si>
  <si>
    <t>D016   	RJ - SEX QUINZENAL GRUPO A</t>
  </si>
  <si>
    <t>4520005 SERVICOS DE LAVAGEM  LUBRIFICACAO E POLIMENTO DE VEICULOS AUTOMOTORES</t>
  </si>
  <si>
    <t>D016 - SXB - RJ - SEX QUINZENAL GRUPO B</t>
  </si>
  <si>
    <t>D016   	RJ - SEX QUINZENAL GRUPO B</t>
  </si>
  <si>
    <t>4520007 SERVICOS DE INSTALACAO  MANUTENCAO E REPARACAO DE ACESSORIOS PARA VEIC</t>
  </si>
  <si>
    <t>D016 - SXS - RJ - SEX SEMANAL</t>
  </si>
  <si>
    <t>D016   	RJ - SEX SEMANAL</t>
  </si>
  <si>
    <t>4520008 SERVICOS DE CAPOTARIA</t>
  </si>
  <si>
    <t>D016 - TEA - RJ - TER QUINZENAL GRUPO A</t>
  </si>
  <si>
    <t>D016   	RJ - TER QUINZENAL GRUPO A</t>
  </si>
  <si>
    <t>4530701 COMERCIO POR ATACADO DE PECAS E ACESSORIOS NOVOS PARA VEICULOS AUTOMOT</t>
  </si>
  <si>
    <t>D016 - TEB - RJ - TER QUINZENAL GRUPO B</t>
  </si>
  <si>
    <t>D016   	RJ - TER QUINZENAL GRUPO B</t>
  </si>
  <si>
    <t>4530703 COMERCIO A VAREJO DE PECAS E ACESSORIOS NOVOS PARA VEICULOS AUTOMOTORE</t>
  </si>
  <si>
    <t>D016 - TES - RJ - TER SEMANAL</t>
  </si>
  <si>
    <t>D016   	RJ - TER SEMANAL</t>
  </si>
  <si>
    <t>4530705 COMERCIO A VAREJO DE PNEUMATICOS E CAMARAS-DE-AR</t>
  </si>
  <si>
    <t>D017 - DIA - DIARIO</t>
  </si>
  <si>
    <t>D017   DIA DIARIO</t>
  </si>
  <si>
    <t>4541203 COMERCIO A VAREJO DE MOTOCICLETAS E MOTONETAS NOVAS</t>
  </si>
  <si>
    <t>D017 - QAA - RJ - QUA QUINZENAL GRUPO A</t>
  </si>
  <si>
    <t>D017   	RJ - QUA QUINZENAL GRUPO A</t>
  </si>
  <si>
    <t>4613300 REPRESENTANTES COMERCIAIS E AGENTES DO COMERCIO DE MADEIRA  MATERIAL D</t>
  </si>
  <si>
    <t>D017 - QAB - RJ - QUA QUINZENAL GRUPO B</t>
  </si>
  <si>
    <t>D017   	RJ - QUA QUINZENAL GRUPO B</t>
  </si>
  <si>
    <t>4614100 REPRESENTANTES COMERCIAIS E AGENTES DO COMERCIO DE MAQUINAS  EQUIPAMEN</t>
  </si>
  <si>
    <t>D017 - QAS - RJ - QUA SEMANAL</t>
  </si>
  <si>
    <t>D017   	RJ - QUA SEMANAL</t>
  </si>
  <si>
    <t>4615000 REPRESENTANTES COMERCIAIS E AGENTES DO COMERCIO DE ELETRODOMESTICOS  M</t>
  </si>
  <si>
    <t>D017 - QUA - RJ - QUI QUINZENAL GRUPO A</t>
  </si>
  <si>
    <t>D017   	RJ - QUI QUINZENAL GRUPO A</t>
  </si>
  <si>
    <t>4618401 REPRESENTANTES COMERCIAIS E AGENTES DO COMERCIO DE MEDICAMENTOS  COSME</t>
  </si>
  <si>
    <t>D017 - QUB - RJ - QUI QUINZENAL GRUPO B</t>
  </si>
  <si>
    <t>D017   	RJ - QUI QUINZENAL GRUPO B</t>
  </si>
  <si>
    <t>4618402 REPRESENTANTES COMERCIAIS E AGENTES DO COMERCIO DE INSTRUMENTOS E MATE</t>
  </si>
  <si>
    <t>D017 - QUS - RJ - QUI SEMANAL</t>
  </si>
  <si>
    <t>D017   	RJ - QUI SEMANAL</t>
  </si>
  <si>
    <t>4618499 OUTROS REPRESENTANTES COMERCIAIS E AGENTES DO COMERCIO ESPECIALIZADO E</t>
  </si>
  <si>
    <t>D017 - SEA - RJ - SEG QUINZENAL GRUPO A</t>
  </si>
  <si>
    <t>D017   	RJ - SEG QUINZENAL GRUPO A</t>
  </si>
  <si>
    <t>4619200 REPRESENTANTES COMERCIAIS E AGENTES DO COMERCIO DE MERCADORIAS EM GERA</t>
  </si>
  <si>
    <t>D017 - SEB - RJ - SEG QUINZENAL GRUPO B</t>
  </si>
  <si>
    <t>D017   	RJ - SEG QUINZENAL GRUPO B</t>
  </si>
  <si>
    <t>4621400 COMERCIO ATACADISTA DE CAFE EM GRAO</t>
  </si>
  <si>
    <t>D017 - SES - RJ - SEG SEMANAL</t>
  </si>
  <si>
    <t>D017   RJ - SEG SEMANAL</t>
  </si>
  <si>
    <t>4623106 COMERCIO ATACADISTA DE SEMENTES  FLORES  PLANTAS E GRAMAS</t>
  </si>
  <si>
    <t>D017 - SXA - RJ - SEX QUINZENAL GRUPO A</t>
  </si>
  <si>
    <t>D017   	RJ - SEX QUINZENAL GRUPO A</t>
  </si>
  <si>
    <t>4623109 COMERCIO ATACADISTA DE ALIMENTOS PARA ANIMAIS</t>
  </si>
  <si>
    <t>D017 - SXB - RJ - SEX QUINZENAL GRUPO B</t>
  </si>
  <si>
    <t>D017   	RJ - SEX QUINZENAL GRUPO B</t>
  </si>
  <si>
    <t>4623199 COMERCIO ATACADISTA DE MATERIAS-PRIMAS AGRICOLAS NAO ESPECIFICADAS ANT</t>
  </si>
  <si>
    <t>D017 - SXS - RJ - SEX SEMANAL</t>
  </si>
  <si>
    <t>D017   	RJ - SEX SEMANAL</t>
  </si>
  <si>
    <t>4631100 COMERCIO ATACADISTA DE LEITE E LATICINIOS</t>
  </si>
  <si>
    <t>D017 - TEA - RJ - TER QUINZENAL GRUPO A</t>
  </si>
  <si>
    <t>D017   	RJ - TER QUINZENAL GRUPO A</t>
  </si>
  <si>
    <t>4632001 COMERCIO ATACADISTA DE CEREAIS E LEGUMINOSAS BENEFICIADOS</t>
  </si>
  <si>
    <t>D017 - TEB - RJ - TER QUINZENAL GRUPO B</t>
  </si>
  <si>
    <t>D017   	RJ - TER QUINZENAL GRUPO B</t>
  </si>
  <si>
    <t>4632003 COMERCIO ATACADISTA DE CEREAIS E LEGUMINOSAS BENEFICIADOS  FARINHAS  A</t>
  </si>
  <si>
    <t>D017 - TES - RJ - TER SEMANAL</t>
  </si>
  <si>
    <t>D017   	RJ - TER SEMANAL</t>
  </si>
  <si>
    <t>4633801 COMERCIO ATACADISTA DE FRUTAS  VERDURAS  RAIZES  TUBERCULOS  HORTALICA</t>
  </si>
  <si>
    <t>D018 - DIA - DIARIO</t>
  </si>
  <si>
    <t>D018   DIA  DIARIO</t>
  </si>
  <si>
    <t>4634601 COMERCIO ATACADISTA DE CARNES BOVINAS E SUINAS E DERIVADOS</t>
  </si>
  <si>
    <t>D018 - QAA - RJ - QUA QUINZENAL GRUPO A</t>
  </si>
  <si>
    <t>D018   	RJ - QUA QUINZENAL GRUPO A</t>
  </si>
  <si>
    <t>4635401 COMERCIO ATACADISTA DE AGUA MINERAL</t>
  </si>
  <si>
    <t>D018 - QAB - RJ - QUA QUINZENAL GRUPO B</t>
  </si>
  <si>
    <t>D018   	RJ - QUA QUINZENAL GRUPO B</t>
  </si>
  <si>
    <t>4635402 COMERCIO ATACADISTA DE CERVEJA  CHOPE E REFRIGERANTE</t>
  </si>
  <si>
    <t>D018 - QAS - RJ - QUA SEMANAL</t>
  </si>
  <si>
    <t>D018   	RJ - QUA SEMANAL</t>
  </si>
  <si>
    <t>4635403 COMERCIO ATACADISTA DE BEBIDAS COM ATIVIDADE DE FRACIONAMENTO E ACONDI</t>
  </si>
  <si>
    <t>D018 - QUA - RJ - QUI QUINZENAL GRUPO A</t>
  </si>
  <si>
    <t>D018   	RJ - QUI QUINZENAL GRUPO A</t>
  </si>
  <si>
    <t>4635499 COMERCIO ATACADISTA DE BEBIDAS NAO ESPECIFICADAS ANTERIORMENTE</t>
  </si>
  <si>
    <t>D018 - QUB - RJ - QUI QUINZENAL GRUPO B</t>
  </si>
  <si>
    <t>D018   	RJ - QUI QUINZENAL GRUPO B</t>
  </si>
  <si>
    <t>4637101 COMERCIO ATACADISTA DE CAFE TORRADO  MOIDO E SOLUVEL</t>
  </si>
  <si>
    <t>D018 - QUS - RJ - QUI SEMANAL</t>
  </si>
  <si>
    <t>D018   	RJ - QUI SEMANAL</t>
  </si>
  <si>
    <t>4637104 COMERCIO ATACADISTA DE PAES  BOLOS  BISCOITOS E SIMILARES</t>
  </si>
  <si>
    <t>D018 - SEA - RJ - SEG QUINZENAL GRUPO A</t>
  </si>
  <si>
    <t>D018   	RJ - SEG QUINZENAL GRUPO A</t>
  </si>
  <si>
    <t>4637107 COMERCIO ATACADISTA DE CHOCOLATES  CONFEITOS  BALAS  BOMBONS E SEMELHA</t>
  </si>
  <si>
    <t>D018 - SEB - RJ - SEG QUINZENAL GRUPO B</t>
  </si>
  <si>
    <t>D018   	RJ - SEG QUINZENAL GRUPO B</t>
  </si>
  <si>
    <t>4637199 COMERCIO ATACADISTA ESPECIALIZADO EM OUTROS PRODUTOS ALIMENTICIOS NAO</t>
  </si>
  <si>
    <t>D018 - SES - RJ - SEG SEMANAL</t>
  </si>
  <si>
    <t>D018   	RJ - SEG SEMANAL</t>
  </si>
  <si>
    <t>4639701 COMERCIO ATACADISTA DE PRODUTOS ALIMENTICIOS EM GERAL</t>
  </si>
  <si>
    <t>D018 - SXA - RJ - SEX QUINZENAL GRUPO A</t>
  </si>
  <si>
    <t>D018   	RJ - SEX QUINZENAL GRUPO A</t>
  </si>
  <si>
    <t>4639702 COMERCIO ATACADISTA DE PRODUTOS ALIMENTICIOS EM GERAL  COM ATIVIDADE D</t>
  </si>
  <si>
    <t>D018 - SXB - RJ - SEX QUINZENAL GRUPO B</t>
  </si>
  <si>
    <t>D018   	RJ - SEX QUINZENAL GRUPO B</t>
  </si>
  <si>
    <t>4642701 COMERCIO ATACADISTA DE ARTIGOS DO VESTUARIO E ACESSORIOS  EXCETO PROFI</t>
  </si>
  <si>
    <t>D018 - SXS - RJ - SEX SEMANAL</t>
  </si>
  <si>
    <t>D018   	RJ - SEX SEMANAL</t>
  </si>
  <si>
    <t>4642702 COMERCIO ATACADISTA DE ROUPAS E ACESSORIOS PARA USO PROFISSIONAL E DE</t>
  </si>
  <si>
    <t>D018 - TEA - RJ - TER QUINZENAL GRUPO A</t>
  </si>
  <si>
    <t>D018   	RJ - TER QUINZENAL GRUPO A</t>
  </si>
  <si>
    <t>4643501 COMERCIO ATACADISTA DE CALCADOS</t>
  </si>
  <si>
    <t>D018 - TEB - RJ - TER QUINZENAL GRUPO B</t>
  </si>
  <si>
    <t>D018   	RJ - TER QUINZENAL GRUPO B</t>
  </si>
  <si>
    <t>4643502 COMERCIO ATACADISTA DE BOLSAS  MALAS E ARTIGOS DE VIAGEM</t>
  </si>
  <si>
    <t>D018 - TES - RJ - TER SEMANAL</t>
  </si>
  <si>
    <t>D018   	RJ - TER SEMANAL</t>
  </si>
  <si>
    <t>4644301 COMERCIO ATACADISTA DE MEDICAMENTOS E DROGAS DE USO HUMANO</t>
  </si>
  <si>
    <t>D019 - DIA - DIARIO</t>
  </si>
  <si>
    <t>D019   DIA DIARIO</t>
  </si>
  <si>
    <t>4645101 COMERCIO ATACADISTA DE INSTRUMENTOS E MATERIAIS PARA USO MEDICO  CIRUR</t>
  </si>
  <si>
    <t>D019 - QAA - SP - QUA QUINZENAL GRUPO A</t>
  </si>
  <si>
    <t>D019   	SP - QUA QUINZENAL GRUPO A</t>
  </si>
  <si>
    <t>4645102 COMERCIO ATACADISTA DE PROTESES E ARTIGOS DE ORTOPEDIA</t>
  </si>
  <si>
    <t>D019 - QAB - SP - QUA QUINZENAL GRUPO B</t>
  </si>
  <si>
    <t>D019   	SP - QUA QUINZENAL GRUPO B</t>
  </si>
  <si>
    <t>4645103 COMERCIO ATACADISTA DE PRODUTOS ODONTOLOGICOS</t>
  </si>
  <si>
    <t>D019 - QAS - SP - QUA SEMANAL</t>
  </si>
  <si>
    <t>D019   	SP - QUA SEMANAL</t>
  </si>
  <si>
    <t>4646001 COMERCIO ATACADISTA DE COSMETICOS E PRODUTOS DE PERFUMARIA</t>
  </si>
  <si>
    <t>D019 - QUA - SP - QUI QUINZENAL GRUPO A</t>
  </si>
  <si>
    <t>D019   	SP - QUI QUINZENAL GRUPO A</t>
  </si>
  <si>
    <t>4646002 COMERCIO ATACADISTA DE PRODUTOS DE HIGIENE PESSOAL</t>
  </si>
  <si>
    <t>D019 - QUB - SP - QUI QUINZENAL GRUPO B</t>
  </si>
  <si>
    <t>D019   	SP - QUI QUINZENAL GRUPO B</t>
  </si>
  <si>
    <t>4647801 COMERCIO ATACADISTA DE ARTIGOS DE ESCRITORIO E DE PAPELARIA</t>
  </si>
  <si>
    <t>D019 - QUS - SP - QUI SEMANAL</t>
  </si>
  <si>
    <t>D019   	SP - QUI SEMANAL</t>
  </si>
  <si>
    <t>4647802 COMERCIO ATACADISTA DE LIVROS  JORNAIS E OUTRAS PUBLICACOES</t>
  </si>
  <si>
    <t>D019 - SEA - SP - SEG QUINZENAL GRUPO A</t>
  </si>
  <si>
    <t>D019   	SP - SEG QUINZENAL GRUPO A</t>
  </si>
  <si>
    <t>4649401 COMERCIO ATACADISTA DE EQUIPAMENTOS ELETRICOS DE USO PESSOAL E DOMESTI</t>
  </si>
  <si>
    <t>D019 - SEB - SP - SEG QUINZENAL GRUPO B</t>
  </si>
  <si>
    <t>D019   	SP - SEG QUINZENAL GRUPO B</t>
  </si>
  <si>
    <t>4649402 COMERCIO ATACADISTA DE APARELHOS ELETRONICOS DE USO PESSOAL E DOMESTIC</t>
  </si>
  <si>
    <t>D019 - SES - SP - SEG SEMANAL</t>
  </si>
  <si>
    <t>D019   	SP - SEG SEMANAL</t>
  </si>
  <si>
    <t>4649404 COMERCIO ATACADISTA DE MOVEIS E ARTIGOS DE COLCHOARIA</t>
  </si>
  <si>
    <t>D019 - SXA - SP - SEX QUINZENAL GRUPO A</t>
  </si>
  <si>
    <t>D019   	SP - SEX QUINZENAL GRUPO A</t>
  </si>
  <si>
    <t>4649408 COMERCIO ATACADISTA DE PRODUTOS DE HIGIENE  LIMPEZA E CONSERVACAO DOMI</t>
  </si>
  <si>
    <t>D019 - SXB - SP - SEX QUINZENAL GRUPO B</t>
  </si>
  <si>
    <t>D019   	SP - SEX QUINZENAL GRUPO B</t>
  </si>
  <si>
    <t>4649409 COMERCIO ATACADISTA DE PRODUTOS DE HIGIENE  LIMPEZA E CONSERVACAO DOMI</t>
  </si>
  <si>
    <t>D019 - SXS - SP - SEX SEMANAL</t>
  </si>
  <si>
    <t>D019   	SP - SEX SEMANAL</t>
  </si>
  <si>
    <t>4649499 COMERCIO ATACADISTA DE OUTROS EQUIPAMENTOS E ARTIGOS DE USO PESSOAL E</t>
  </si>
  <si>
    <t>D019 - TEA - SP - TER QUINZENAL GRUPO A</t>
  </si>
  <si>
    <t>D019   	SP - TER QUINZENAL GRUPO A</t>
  </si>
  <si>
    <t>4651601 COMERCIO ATACADISTA DE EQUIPAMENTOS DE INFORMATICA</t>
  </si>
  <si>
    <t>D019 - TEB - SP - TER QUINZENAL GRUPO B</t>
  </si>
  <si>
    <t>D019   	SP - TER QUINZENAL GRUPO B</t>
  </si>
  <si>
    <t>4651602 COMERCIO ATACADISTA DE SUPRIMENTOS PARA INFORMATICA</t>
  </si>
  <si>
    <t>D019 - TES - SP - TER SEMANAL</t>
  </si>
  <si>
    <t>D019   	SP - TER SEMANAL</t>
  </si>
  <si>
    <t>4652400 COMERCIO ATACADISTA DE COMPONENTES ELETRONICOS E EQUIPAMENTOS DE TELEF</t>
  </si>
  <si>
    <t>D020 - DIA - DIARIO</t>
  </si>
  <si>
    <t>D020   DIA DIARIO</t>
  </si>
  <si>
    <t>4663000 COMERCIO ATACADISTA DE MAQUINAS E EQUIPAMENTOS PARA USO INDUSTRIAL  PA</t>
  </si>
  <si>
    <t>D020 - QAA - RJ - QUA QUINZENAL GRUPO A</t>
  </si>
  <si>
    <t>D020   	RJ - QUA QUINZENAL GRUPO A</t>
  </si>
  <si>
    <t>4664800 COMERCIO ATACADISTA DE MAQUINAS  APARELHOS E EQUIPAMENTOS PARA USO ODO</t>
  </si>
  <si>
    <t>D020 - QAB - RJ - QUA QUINZENAL GRUPO B</t>
  </si>
  <si>
    <t>D020   	RJ - QUA QUINZENAL GRUPO B</t>
  </si>
  <si>
    <t>4665600 COMERCIO ATACADISTA DE MAQUINAS E EQUIPAMENTOS PARA USO COMERCIAL  PAR</t>
  </si>
  <si>
    <t>D020 - QAS - RJ - QUA SEMANAL</t>
  </si>
  <si>
    <t>D020   	RJ - QUA SEMANAL</t>
  </si>
  <si>
    <t>4669999 COMERCIO ATACADISTA DE OUTRAS MAQUINAS E EQUIPAMENTOS NAO ESPECIFICADO</t>
  </si>
  <si>
    <t>D020 - QUA - RJ - QUI QUINZENAL GRUPO A</t>
  </si>
  <si>
    <t>D020   	RJ - QUI QUINZENAL GRUPO A</t>
  </si>
  <si>
    <t>4671100 COMERCIO ATACADISTA DE MADEIRA E PRODUTOS DERIVADOS</t>
  </si>
  <si>
    <t>D020 - QUB - RJ - QUI QUINZENAL GRUPO B</t>
  </si>
  <si>
    <t>D020   	RJ - QUI QUINZENAL GRUPO B</t>
  </si>
  <si>
    <t>4672900 COMERCIO ATACADISTA DE FERRAGENS E FERRAMENTAS</t>
  </si>
  <si>
    <t>D020 - QUS - RJ - QUI SEMANAL</t>
  </si>
  <si>
    <t>D020   	RJ - QUI SEMANAL</t>
  </si>
  <si>
    <t>4673700 COMERCIO ATACADISTA DE MATERIAL ELETRICO</t>
  </si>
  <si>
    <t>D020 - SEA - RJ - SEG QUINZENAL GRUPO A</t>
  </si>
  <si>
    <t>D020   	RJ - SEG QUINZENAL GRUPO A</t>
  </si>
  <si>
    <t>4674500 COMERCIO ATACADISTA DE CIMENTO</t>
  </si>
  <si>
    <t>D020 - SEB - RJ - SEG QUINZENAL GRUPO B</t>
  </si>
  <si>
    <t>D020   	RJ - SEG QUINZENAL GRUPO B</t>
  </si>
  <si>
    <t>4679601 COMERCIO ATACADISTA DE TINTAS  VERNIZES E SIMILARES</t>
  </si>
  <si>
    <t>D020 - SES - RJ - SEG SEMANAL</t>
  </si>
  <si>
    <t>D020   	RJ - SEG SEMANAL</t>
  </si>
  <si>
    <t>4679602 COMERCIO ATACADISTA DE MARMORES E GRANITOS</t>
  </si>
  <si>
    <t>D020 - SXA - RJ - SEX QUINZENAL GRUPO A</t>
  </si>
  <si>
    <t>D020   	RJ - SEX QUINZENAL GRUPO A</t>
  </si>
  <si>
    <t>4679604 COMERCIO ATACADISTA ESPECIALIZADO DE MATERIAIS DE CONSTRUCAO NAO ESPEC</t>
  </si>
  <si>
    <t>D020 - SXB - RJ - SEX QUINZENAL GRUPO B</t>
  </si>
  <si>
    <t>D020   	RJ - SEX QUINZENAL GRUPO B</t>
  </si>
  <si>
    <t>4679699 COMERCIO ATACADISTA DE MATERIAIS DE CONSTRUCAO EM GERAL</t>
  </si>
  <si>
    <t>D020 - SXS - RJ - SEX SEMANAL</t>
  </si>
  <si>
    <t>D020   	RJ - SEX SEMANAL</t>
  </si>
  <si>
    <t>4681801 COMERCIO ATACADISTA DE ALCOOL CARBURANTE  BIODIESEL  GASOLINA E DEMAIS</t>
  </si>
  <si>
    <t>D020 - TEA - RJ - TER QUINZENAL GRUPO A</t>
  </si>
  <si>
    <t>D020   	RJ - TER QUINZENAL GRUPO A</t>
  </si>
  <si>
    <t>4681802 COMERCIO ATACADISTA DE COMBUSTIVEIS REALIZADO POR TRANSPORTADOR RETALH</t>
  </si>
  <si>
    <t>D020 - TEB - RJ - TER QUINZENAL GRUPO B</t>
  </si>
  <si>
    <t>D020   	RJ - TER QUINZENAL GRUPO B</t>
  </si>
  <si>
    <t>4682600 COMERCIO ATACADISTA DE GAS LIQUEFEITO DE PETROLEO  GLP</t>
  </si>
  <si>
    <t>D020 - TES - RJ - TER SEMANAL</t>
  </si>
  <si>
    <t>D020   	RJ - TER SEMANAL</t>
  </si>
  <si>
    <t>4683400 COMERCIO ATACADISTA DE DEFENSIVOS AGRICOLAS  ADUBOS  FERTILIZANTES E C</t>
  </si>
  <si>
    <t>D021 - DIA - DIARIO</t>
  </si>
  <si>
    <t>D021   DIA DIARIO</t>
  </si>
  <si>
    <t>4684299 COMERCIO ATACADISTA DE OUTROS PRODUTOS QUIMICOS E PETROQUIMICOS NAO ES</t>
  </si>
  <si>
    <t>D021 - QAA - RJ - QUA QUINZENAL GRUPO A</t>
  </si>
  <si>
    <t>D021   	RJ - QUA QUINZENAL GRUPO A</t>
  </si>
  <si>
    <t>4685100 COMERCIO ATACADISTA DE PRODUTOS SIDERURGICOS E METALURGICOS  EXCETO PA</t>
  </si>
  <si>
    <t>D021 - QAB - RJ - QUA QUINZENAL GRUPO B</t>
  </si>
  <si>
    <t>D021   	RJ - QUA QUINZENAL GRUPO B</t>
  </si>
  <si>
    <t>4686901 COMERCIO ATACADISTA DE PAPEL E PAPELAO EM BRUTO</t>
  </si>
  <si>
    <t>D021 - QAS - RJ - QUA SEMANAL</t>
  </si>
  <si>
    <t>D021   	RJ - QUA SEMANAL</t>
  </si>
  <si>
    <t>4686902 COMERCIO ATACADISTA DE EMBALAGENS</t>
  </si>
  <si>
    <t>D021 - QUA - RJ - QUI QUINZENAL GRUPO A</t>
  </si>
  <si>
    <t>D021   	RJ - QUI QUINZENAL GRUPO A</t>
  </si>
  <si>
    <t>4687702 COMERCIO ATACADISTA DE RESIDUOS E SUCATAS NAO-METALICOS  EXCETO DE PAP</t>
  </si>
  <si>
    <t>D021 - QUB - RJ - QUI QUINZENAL GRUPO B</t>
  </si>
  <si>
    <t>D021   	RJ - QUI QUINZENAL GRUPO B</t>
  </si>
  <si>
    <t>4689399 COMERCIO ATACADISTA ESPECIALIZADO EM OUTROS PRODUTOS INTERMEDIARIOS NA</t>
  </si>
  <si>
    <t>D021 - QUS - RJ - QUI SEMANAL</t>
  </si>
  <si>
    <t>D021   	RJ - QUI SEMANAL</t>
  </si>
  <si>
    <t>4691500 COMERCIO ATACADISTA DE MERCADORIAS EM GERAL  COM PREDOMINANCIA DE PROD</t>
  </si>
  <si>
    <t>D021 - SEA - RJ - SEG QUINZENAL GRUPO A</t>
  </si>
  <si>
    <t>D021   	RJ - SEG QUINZENAL GRUPO A</t>
  </si>
  <si>
    <t>4693100 COMERCIO ATACADISTA DE MERCADORIAS EM GERAL  SEM PREDOMINANCIA DE ALIM</t>
  </si>
  <si>
    <t>D021 - SEB - RJ - SEG QUINZENAL GRUPO B</t>
  </si>
  <si>
    <t>D021   	RJ - SEG QUINZENAL GRUPO B</t>
  </si>
  <si>
    <t>4711301 HIPERMERCADOS</t>
  </si>
  <si>
    <t>D021 - SES - RJ - SEG SEMANAL</t>
  </si>
  <si>
    <t>D021   	RJ - SEG SEMANAL</t>
  </si>
  <si>
    <t>4711302 COMERCIO VAREJISTA DE MERCADORIAS EM GERAL  COM PREDOMINANCIA DE PRODU</t>
  </si>
  <si>
    <t>D021 - SXA - RJ - SEX QUINZENAL GRUPO A</t>
  </si>
  <si>
    <t>D021   	RJ - SEX QUINZENAL GRUPO A</t>
  </si>
  <si>
    <t>4712100 MINIMERCADOS  MERCEARIAS E ARMAZENS</t>
  </si>
  <si>
    <t>D021 - SXB - RJ - SEX QUINZENAL GRUPO B</t>
  </si>
  <si>
    <t>D021   	RJ - SEX QUINZENAL GRUPO B</t>
  </si>
  <si>
    <t>4713001 LOJAS DE DEPARTAMENTOS OU MAGAZINES</t>
  </si>
  <si>
    <t>D021 - SXS - RJ - SEX SEMANAL</t>
  </si>
  <si>
    <t>D021   	RJ - SEX SEMANAL</t>
  </si>
  <si>
    <t>4713002 LOJAS DE VARIEDADES  EXCETO LOJAS DE DEPARTAMENTOS OU MAGAZINES</t>
  </si>
  <si>
    <t>D021 - TEA - RJ - TER QUINZENAL GRUPO A</t>
  </si>
  <si>
    <t>D021   	RJ - TER QUINZENAL GRUPO A</t>
  </si>
  <si>
    <t>4721102 PADARIA E CONFEITARIA COM PREDOMINANCIA DE REVENDA</t>
  </si>
  <si>
    <t>D021 - TEB - RJ - TER QUINZENAL GRUPO B</t>
  </si>
  <si>
    <t>D021   	RJ - TER QUINZENAL GRUPO B</t>
  </si>
  <si>
    <t>4721103 COMERCIO VAREJISTA DE LATICINIOS E FRIOS</t>
  </si>
  <si>
    <t>D021 - TES - RJ - TER SEMANAL</t>
  </si>
  <si>
    <t>D021   	RJ - TER SEMANAL</t>
  </si>
  <si>
    <t>4721104 COMERCIO VAREJISTA DE DOCES  BALAS  BOMBONS E SEMELHANTES</t>
  </si>
  <si>
    <t>D022 - DIA - DIARIO</t>
  </si>
  <si>
    <t>D022   DIA DIARIO</t>
  </si>
  <si>
    <t>4722901 ACOUGUES</t>
  </si>
  <si>
    <t>D022 - QAA - RJ - QUA QUINZENAL GRUPO A</t>
  </si>
  <si>
    <t>D022   	RJ - QUA QUINZENAL GRUPO A</t>
  </si>
  <si>
    <t>4723700 COMERCIO VAREJISTA DE BEBIDAS</t>
  </si>
  <si>
    <t>D022 - QAB - RJ - QUA QUINZENAL GRUPO B</t>
  </si>
  <si>
    <t>D022   	RJ - QUA QUINZENAL GRUPO B</t>
  </si>
  <si>
    <t>4729602 COMERCIO VAREJISTA DE MERCADORIAS EM LOJAS DE CONVENIENCIA</t>
  </si>
  <si>
    <t>D022 - QAS - RJ - QUA SEMANAL</t>
  </si>
  <si>
    <t>D022   	RJ - QUA SEMANAL</t>
  </si>
  <si>
    <t>4729699 COMERCIO VAREJISTA DE PRODUTOS ALIMENTICIOS EM GERAL OU ESPECIALIZADO</t>
  </si>
  <si>
    <t>D022 - QUA - RJ - QUI QUINZENAL GRUPO A</t>
  </si>
  <si>
    <t>D022   	RJ - QUI QUINZENAL GRUPO A</t>
  </si>
  <si>
    <t>4731800 COMERCIO VAREJISTA DE COMBUSTIVEIS PARA VEICULOS AUTOMOTORES</t>
  </si>
  <si>
    <t>D022 - QUB - RJ - QUI QUINZENAL GRUPO B</t>
  </si>
  <si>
    <t>D022   	RJ - QUI QUINZENAL GRUPO B</t>
  </si>
  <si>
    <t>4741500 COMERCIO VAREJISTA DE TINTAS E MATERIAIS PARA PINTURA</t>
  </si>
  <si>
    <t>D022 - QUS - RJ - QUI SEMANAL</t>
  </si>
  <si>
    <t>D022   	RJ - QUI SEMANAL</t>
  </si>
  <si>
    <t>4742300 COMERCIO VAREJISTA DE MATERIAL ELETRICO</t>
  </si>
  <si>
    <t>D022 - SEA - RJ - SEG QUINZENAL GRUPO A</t>
  </si>
  <si>
    <t>D022   	RJ - SEG QUINZENAL GRUPO A</t>
  </si>
  <si>
    <t>4743100 COMERCIO VAREJISTA DE VIDROS</t>
  </si>
  <si>
    <t>D022 - SEB - RJ - SEG QUINZENAL GRUPO B</t>
  </si>
  <si>
    <t>D022   	RJ - SEG QUINZENAL GRUPO B</t>
  </si>
  <si>
    <t>4744001 COMERCIO VAREJISTA DE FERRAGENS E FERRAMENTAS</t>
  </si>
  <si>
    <t>D022 - SES - RJ - SEG SEMANAL</t>
  </si>
  <si>
    <t>D022   	RJ - SEG SEMANAL</t>
  </si>
  <si>
    <t>4744002 COMERCIO VAREJISTA DE MADEIRA E ARTEFATOS</t>
  </si>
  <si>
    <t>D022 - SXA - RJ - SEX QUINZENAL GRUPO A</t>
  </si>
  <si>
    <t>D022   	RJ - SEX QUINZENAL GRUPO A</t>
  </si>
  <si>
    <t>4744003 COMERCIO VAREJISTA DE MATERIAIS HIDRAULICOS</t>
  </si>
  <si>
    <t>D022 - SXB - RJ - SEX QUINZENAL GRUPO B</t>
  </si>
  <si>
    <t>D022   	RJ - SEX QUINZENAL GRUPO B</t>
  </si>
  <si>
    <t>4744005 COMERCIO VAREJISTA DE MATERIAIS DE CONSTRUCAO NAO ESPECIFICADOS ANTERI</t>
  </si>
  <si>
    <t>D022 - SXS - RJ - SEX SEMANAL</t>
  </si>
  <si>
    <t>D022   	RJ - SEX SEMANAL</t>
  </si>
  <si>
    <t>4744099 COMERCIO VAREJISTA DE MATERIAIS DE CONSTRUCAO EM GERAL</t>
  </si>
  <si>
    <t>D022 - TEA - RJ - TER QUINZENAL GRUPO A</t>
  </si>
  <si>
    <t>D022   	RJ - TER QUINZENAL GRUPO A</t>
  </si>
  <si>
    <t>4751201 COMERCIO VAREJISTA ESPECIALIZADO DE EQUIPAMENTOS E SUPRIMENTOS DE INFO</t>
  </si>
  <si>
    <t>D022 - TEB - RJ - TER QUINZENAL GRUPO B</t>
  </si>
  <si>
    <t>D022   	RJ - TER QUINZENAL GRUPO B</t>
  </si>
  <si>
    <t>4751202 RECARGA DE CARTUCHOS PARA EQUIPAMENTOS DE INFORMATICA</t>
  </si>
  <si>
    <t>D022 - TES - RJ - TER SEMANAL</t>
  </si>
  <si>
    <t>D022   	RJ - TER SEMANAL</t>
  </si>
  <si>
    <t>4752100 COMERCIO VAREJISTA ESPECIALIZADO DE EQUIPAMENTOS DE TELEFONIA E COMUNI</t>
  </si>
  <si>
    <t>D023 - DIA - DIARIO</t>
  </si>
  <si>
    <t>D023   DIA DIARIO</t>
  </si>
  <si>
    <t>4753900 COMERCIO VAREJISTA ESPECIALIZADO DE ELETRODOMESTICOS E EQUIPAMENTOS DE</t>
  </si>
  <si>
    <t>D023 - QAA - RJ - QUA QUINZENAL GRUPO A</t>
  </si>
  <si>
    <t>D023   	RJ - QUA QUINZENAL GRUPO A</t>
  </si>
  <si>
    <t>4754701 COMERCIO VAREJISTA DE MOVEIS</t>
  </si>
  <si>
    <t>D023 - QAB - RJ - QUA QUINZENAL GRUPO B</t>
  </si>
  <si>
    <t>D023   	RJ - QUA QUINZENAL GRUPO B</t>
  </si>
  <si>
    <t>4754703 COMERCIO VAREJISTA DE ARTIGOS DE ILUMINACAO</t>
  </si>
  <si>
    <t>D023 - QAS - RJ - QUA SEMANAL</t>
  </si>
  <si>
    <t>D023   	RJ - QUA SEMANAL</t>
  </si>
  <si>
    <t>4755502 COMERCIO VAREJISTA DE ARTIGOS DE ARMARINHO</t>
  </si>
  <si>
    <t>D023 - QUA - RJ - QUI QUINZENAL GRUPO A</t>
  </si>
  <si>
    <t>D023   	RJ - QUI QUINZENAL GRUPO A</t>
  </si>
  <si>
    <t>4755503 COMERCIO VAREJISTA DE ARTIGOS DE CAMA  MESA E BANHO</t>
  </si>
  <si>
    <t>D023 - QUB - RJ - QUI QUINZENAL GRUPO B</t>
  </si>
  <si>
    <t>D023   	RJ - QUI QUINZENAL GRUPO B</t>
  </si>
  <si>
    <t>4757100 COMERCIO VAREJISTA ESPECIALIZADO DE PECAS E ACESSORIOS PARA APARELHOS</t>
  </si>
  <si>
    <t>D023 - QUS - RJ - QUI SEMANAL</t>
  </si>
  <si>
    <t>D023   	RJ - QUI SEMANAL</t>
  </si>
  <si>
    <t>4759801 COMERCIO VAREJISTA DE ARTIGOS DE TAPECARIA  CORTINAS E PERSIANAS</t>
  </si>
  <si>
    <t>D023 - SEA - RJ - SEG QUINZENAL GRUPO A</t>
  </si>
  <si>
    <t>D023   	RJ - SEG QUINZENAL GRUPO A</t>
  </si>
  <si>
    <t>4759899 COMERCIO VAREJISTA DE OUTROS ARTIGOS DE USO PESSOAL E DOMESTICO NAO ES</t>
  </si>
  <si>
    <t>D023 - SEB - RJ - SEG QUINZENAL GRUPO B</t>
  </si>
  <si>
    <t>D023   	RJ - SEG QUINZENAL GRUPO B</t>
  </si>
  <si>
    <t>4761001 COMERCIO VAREJISTA DE LIVROS</t>
  </si>
  <si>
    <t>D023 - SES - RJ - SEG SEMANAL</t>
  </si>
  <si>
    <t>D023   	RJ - SEG SEMANAL</t>
  </si>
  <si>
    <t>4761002 COMERCIO VAREJISTA DE JORNAIS E REVISTAS</t>
  </si>
  <si>
    <t>D023 - SXA - RJ - SEX QUINZENAL GRUPO A</t>
  </si>
  <si>
    <t>D023   	RJ - SEX QUINZENAL GRUPO A</t>
  </si>
  <si>
    <t>4761003 COMERCIO VAREJISTA DE ARTIGOS DE PAPELARIA</t>
  </si>
  <si>
    <t>D023 - SXB - RJ - SEX QUINZENAL GRUPO B</t>
  </si>
  <si>
    <t>D023   	RJ - SEX QUINZENAL GRUPO B</t>
  </si>
  <si>
    <t>4762800 COMERCIO VAREJISTA DE DISCOS  CDS  DVDS E FITAS</t>
  </si>
  <si>
    <t>D023 - SXS - RJ - SEX SEMANAL</t>
  </si>
  <si>
    <t>D023   	RJ - SEX SEMANAL</t>
  </si>
  <si>
    <t>4763601 COMERCIO VAREJISTA DE BRINQUEDOS E ARTIGOS RECREATIVOS</t>
  </si>
  <si>
    <t>D023 - TEA - RJ - TER QUINZENAL GRUPO A</t>
  </si>
  <si>
    <t>D023   	RJ - TER QUINZENAL GRUPO A</t>
  </si>
  <si>
    <t>4771701 COMERCIO VAREJISTA DE PRODUTOS FARMACEUTICOS  SEM MANIPULACAO DE FORMU</t>
  </si>
  <si>
    <t>D023 - TEB - RJ - TER QUINZENAL GRUPO B</t>
  </si>
  <si>
    <t>D023   	RJ - TER QUINZENAL GRUPO B</t>
  </si>
  <si>
    <t>4771702 COMERCIO VAREJISTA DE PRODUTOS FARMACEUTICOS  COM MANIPULACAO DE FORMU</t>
  </si>
  <si>
    <t>D023 - TES - RJ - TER SEMANAL</t>
  </si>
  <si>
    <t>D023   	RJ - TER SEMANAL</t>
  </si>
  <si>
    <t>4771703 COMERCIO VAREJISTA DE PRODUTOS FARMACEUTICOS HOMEOPATICOS</t>
  </si>
  <si>
    <t>D024 - DIA - DIARIO</t>
  </si>
  <si>
    <t>D024   DIA DIARIO</t>
  </si>
  <si>
    <t>4771704 COMERCIO VAREJISTA DE MEDICAMENTOS VETERINARIOS</t>
  </si>
  <si>
    <t>D024 - QAA - RJ - QUA QUINZENAL GRUPO A</t>
  </si>
  <si>
    <t>D024   	RJ - QUA QUINZENAL GRUPO A</t>
  </si>
  <si>
    <t>4772500 COMERCIO VAREJISTA DE COSMETICOS  PRODUTOS DE PERFUMARIA E DE HIGIENE</t>
  </si>
  <si>
    <t>D024 - QAB - RJ - QUA QUINZENAL GRUPO B</t>
  </si>
  <si>
    <t>D024   	RJ - QUA QUINZENAL GRUPO B</t>
  </si>
  <si>
    <t>4773300 COMERCIO VAREJISTA DE ARTIGOS MEDICOS E ORTOPEDICOS</t>
  </si>
  <si>
    <t>D024 - QAS - RJ - QUA SEMANAL</t>
  </si>
  <si>
    <t>D024   	RJ - QUA SEMANAL</t>
  </si>
  <si>
    <t>4774100 COMERCIO VAREJISTA DE ARTIGOS DE OPTICA</t>
  </si>
  <si>
    <t>D024 - QUA - RJ - QUI QUINZENAL GRUPO A</t>
  </si>
  <si>
    <t>D024   	RJ - QUI QUINZENAL GRUPO A</t>
  </si>
  <si>
    <t>4781400 COMERCIO VAREJISTA DE ARTIGOS DO VESTUARIO E ACESSORIOS</t>
  </si>
  <si>
    <t>D024 - QUB - RJ - QUI QUINZENAL GRUPO B</t>
  </si>
  <si>
    <t>D024   	RJ - QUI QUINZENAL GRUPO B</t>
  </si>
  <si>
    <t>4782201 COMERCIO VAREJISTA DE CALCADOS</t>
  </si>
  <si>
    <t>D024 - QUS - RJ - QUI SEMANAL</t>
  </si>
  <si>
    <t>D024   	RJ - QUI SEMANAL</t>
  </si>
  <si>
    <t>4782202 COMERCIO VAREJISTA DE ARTIGOS DE VIAGEM</t>
  </si>
  <si>
    <t>D024 - SEA - RJ - SEG QUINZENAL GRUPO A</t>
  </si>
  <si>
    <t>D024   	RJ - SEG QUINZENAL GRUPO A</t>
  </si>
  <si>
    <t>4784900 COMERCIO VAREJISTA DE GAS LIQUEFEITO DE PETROLEO  GLP</t>
  </si>
  <si>
    <t>D024 - SEB - RJ - SEG QUINZENAL GRUPO B</t>
  </si>
  <si>
    <t>D024   	RJ - SEG QUINZENAL GRUPO B</t>
  </si>
  <si>
    <t>4785799 COMERCIO VAREJISTA DE OUTROS ARTIGOS USADOS</t>
  </si>
  <si>
    <t>D024 - SES - RJ - SEG SEMANAL</t>
  </si>
  <si>
    <t>D024   	RJ - SEG SEMANAL</t>
  </si>
  <si>
    <t>4789001 COMERCIO VAREJISTA DE SUVENIRES  BIJUTERIAS E ARTESANATOS</t>
  </si>
  <si>
    <t>D024 - SXA - RJ - SEX QUINZENAL GRUPO A</t>
  </si>
  <si>
    <t>D024   	RJ - SEX QUINZENAL GRUPO A</t>
  </si>
  <si>
    <t>4789002 COMERCIO VAREJISTA DE PLANTAS E FLORES NATURAIS</t>
  </si>
  <si>
    <t>D024 - SXB - RJ - SEX QUINZENAL GRUPO B</t>
  </si>
  <si>
    <t>D024   	RJ - SEX QUINZENAL GRUPO B</t>
  </si>
  <si>
    <t>4789004 COMERCIO VAREJISTA DE ANIMAIS VIVOS E DE ARTIGOS E ALIMENTOS PARA ANIM</t>
  </si>
  <si>
    <t>D024 - SXS - RJ - SEX SEMANAL</t>
  </si>
  <si>
    <t>D024   	RJ - SEX SEMANAL</t>
  </si>
  <si>
    <t>4789005 COMERCIO VAREJISTA DE PRODUTOS SANEANTES DOMISSANITARIOS</t>
  </si>
  <si>
    <t>D024 - TEA - RJ - TER QUINZENAL GRUPO A</t>
  </si>
  <si>
    <t>D024   	RJ - TER QUINZENAL GRUPO A</t>
  </si>
  <si>
    <t>4789007 COMERCIO VAREJISTA DE EQUIPAMENTOS PARA ESCRITORIO</t>
  </si>
  <si>
    <t>D024 - TEB - RJ - TER QUINZENAL GRUPO B</t>
  </si>
  <si>
    <t>D024   	RJ - TER QUINZENAL GRUPO B</t>
  </si>
  <si>
    <t>4789008 COMERCIO VAREJISTA DE ARTIGOS FOTOGRAFICOS E PARA FILMAGEM</t>
  </si>
  <si>
    <t>D024 - TES - RJ - TER SEMANAL</t>
  </si>
  <si>
    <t>D024   	RJ - TER SEMANAL</t>
  </si>
  <si>
    <t>4789099 COMERCIO VAREJISTA DE OUTROS PRODUTOS NAO ESPECIFICADOS ANTERIORMENTE</t>
  </si>
  <si>
    <t>D025 - DIA - DIARIO</t>
  </si>
  <si>
    <t>D025   DIA DIARIO</t>
  </si>
  <si>
    <t>4912403 TRANSPORTE METROVIARIO</t>
  </si>
  <si>
    <t>D025 - QAA - RJ - QUA QUINZENAL GRUPO A</t>
  </si>
  <si>
    <t>D025   	RJ - QUA QUINZENAL GRUPO A</t>
  </si>
  <si>
    <t>4921301 TRANSPORTE RODOVIARIO COLETIVO DE PASSAGEIROS  COM ITINERARIO FIXO  MU</t>
  </si>
  <si>
    <t>D025 - QAB - RJ - QUA QUINZENAL GRUPO B</t>
  </si>
  <si>
    <t>D025   	RJ - QUA QUINZENAL GRUPO B</t>
  </si>
  <si>
    <t>4921302 TRANSPORTE RODOVIARIO COLETIVO DE PASSAGEIROS  COM ITINERARIO FIXO  IN</t>
  </si>
  <si>
    <t>D025 - QAS - RJ - QUA SEMANAL</t>
  </si>
  <si>
    <t>D025   	RJ - QUA SEMANAL</t>
  </si>
  <si>
    <t>4922101 TRANSPORTE RODOVIARIO COLETIVO DE PASSAGEIROS  COM ITINERARIO FIXO  IN</t>
  </si>
  <si>
    <t>D025 - QUA - RJ - QUI QUINZENAL GRUPO A</t>
  </si>
  <si>
    <t>D025   	RJ - QUI QUINZENAL GRUPO A</t>
  </si>
  <si>
    <t>4922102 TRANSPORTE RODOVIARIO COLETIVO DE PASSAGEIROS  COM ITINERARIO FIXO  IN</t>
  </si>
  <si>
    <t>D025 - QUB - RJ - QUI QUINZENAL GRUPO B</t>
  </si>
  <si>
    <t>D025   	RJ - QUI QUINZENAL GRUPO B</t>
  </si>
  <si>
    <t>4923001 SERVICO DE TAXI</t>
  </si>
  <si>
    <t>D025 - QUS - RJ - QUI SEMANAL</t>
  </si>
  <si>
    <t>D025   	RJ - QUI SEMANAL</t>
  </si>
  <si>
    <t>4923002 SERVICO DE TRANSPORTE DE PASSAGEIROS - LOCACAO DE AUTOMOVEIS COM MOTOR</t>
  </si>
  <si>
    <t>D025 - SEA - RJ - SEG QUINZENAL GRUPO A</t>
  </si>
  <si>
    <t>D025   	RJ - SEG QUINZENAL GRUPO A</t>
  </si>
  <si>
    <t>4929901 TRANSPORTE RODOVIARIO COLETIVO DE PASSAGEIROS  SOB REGIME DE FRETAMENT</t>
  </si>
  <si>
    <t>D025 - SEB - RJ - SEG QUINZENAL GRUPO B</t>
  </si>
  <si>
    <t>D025   	RJ - SEG QUINZENAL GRUPO B</t>
  </si>
  <si>
    <t>4929902 TRANSPORTE RODOVIARIO COLETIVO DE PASSAGEIROS  SOB REGIME DE FRETAMENT</t>
  </si>
  <si>
    <t>D025 - SES - RJ - SEG SEMANAL</t>
  </si>
  <si>
    <t>D025   RJ - SEG SEMANAL</t>
  </si>
  <si>
    <t>4930201 TRANSPORTE RODOVIARIO DE CARGA  EXCETO PRODUTOS PERIGOSOS E MUDANCAS</t>
  </si>
  <si>
    <t>D025 - SXA - RJ - SEX QUINZENAL GRUPO A</t>
  </si>
  <si>
    <t>D025   	RJ - SEX QUINZENAL GRUPO A</t>
  </si>
  <si>
    <t>4930202 TRANSPORTE RODOVIARIO DE CARGA  EXCETO PRODUTOS PERIGOSOS E MUDANCAS</t>
  </si>
  <si>
    <t>D025 - SXB - RJ - SEX QUINZENAL GRUPO B</t>
  </si>
  <si>
    <t>D025   	RJ - SEX QUINZENAL GRUPO B</t>
  </si>
  <si>
    <t>4930203 TRANSPORTE RODOVIARIO DE PRODUTOS PERIGOSOS</t>
  </si>
  <si>
    <t>D025 - SXS - RJ - SEX SEMANAL</t>
  </si>
  <si>
    <t>D025   	RJ - SEX SEMANAL</t>
  </si>
  <si>
    <t>4930204 TRANSPORTE RODOVIARIO DE MUDANCAS</t>
  </si>
  <si>
    <t>D025 - TEA - RJ - TER QUINZENAL GRUPO A</t>
  </si>
  <si>
    <t>D025   	RJ - TER QUINZENAL GRUPO A</t>
  </si>
  <si>
    <t>4940000 TRANSPORTE DUTOVIARIO</t>
  </si>
  <si>
    <t>D025 - TEB - RJ - TER QUINZENAL GRUPO B</t>
  </si>
  <si>
    <t>D025   	RJ - TER QUINZENAL GRUPO B</t>
  </si>
  <si>
    <t>5022001 TRANSPORTE POR NAVEGACAO INTERIOR DE PASSAGEIROS EM LINHAS REGULARES</t>
  </si>
  <si>
    <t>D025 - TES - RJ - TER SEMANAL</t>
  </si>
  <si>
    <t>D025   	RJ - TER SEMANAL</t>
  </si>
  <si>
    <t>5022002 TRANSPORTE POR NAVEGACAO INTERIOR DE PASSAGEIROS EM LINHAS REGULARES</t>
  </si>
  <si>
    <t>D026 - DIA - DIARIO</t>
  </si>
  <si>
    <t>D026   DIA DIARIO</t>
  </si>
  <si>
    <t>5111100 TRANSPORTE AEREO DE PASSAGEIROS REGULAR</t>
  </si>
  <si>
    <t>D026 - QAA - RJ - QUA QUINZENAL GRUPO A</t>
  </si>
  <si>
    <t>D026   	RJ - QUA QUINZENAL GRUPO A</t>
  </si>
  <si>
    <t>5112901 SERVICO DE TAXI AEREO E LOCACAO DE AERONAVES COM TRIPULACAO</t>
  </si>
  <si>
    <t>D026 - QAB - RJ - QUA QUINZENAL GRUPO B</t>
  </si>
  <si>
    <t>D026   	RJ - QUA QUINZENAL GRUPO B</t>
  </si>
  <si>
    <t>5120000 TRANSPORTE AEREO DE CARGA</t>
  </si>
  <si>
    <t>D026 - QAS - RJ - QUA SEMANAL</t>
  </si>
  <si>
    <t>D026   	RJ - QUA SEMANAL</t>
  </si>
  <si>
    <t>5211701 ARMAZENS GERAIS - EMISSAO DE WARRANT</t>
  </si>
  <si>
    <t>D026 - QUA - RJ - QUI QUINZENAL GRUPO A</t>
  </si>
  <si>
    <t>D026   	RJ - QUI QUINZENAL GRUPO A</t>
  </si>
  <si>
    <t>5211702 GUARDA-MOVEIS</t>
  </si>
  <si>
    <t>D026 - QUB - RJ - QUI QUINZENAL GRUPO B</t>
  </si>
  <si>
    <t>D026   	RJ - QUI QUINZENAL GRUPO B</t>
  </si>
  <si>
    <t>5211799 DEPOSITOS DE MERCADORIAS PARA TERCEIROS  EXCETO ARMAZENS GERAIS E GUAR</t>
  </si>
  <si>
    <t>D026 - QUS - RJ - QUI SEMANAL</t>
  </si>
  <si>
    <t>D026   	RJ - QUI SEMANAL</t>
  </si>
  <si>
    <t>5212500 CARGA E DESCARGA</t>
  </si>
  <si>
    <t>D026 - SEA - RJ - SEG QUINZENAL GRUPO A</t>
  </si>
  <si>
    <t>D026   	RJ - SEG QUINZENAL GRUPO A</t>
  </si>
  <si>
    <t>5221400 CONCESSIONARIAS DE RODOVIAS  PONTES  TUNEIS E SERVICOS RELACIONADOS</t>
  </si>
  <si>
    <t>D026 - SEB - RJ - SEG QUINZENAL GRUPO B</t>
  </si>
  <si>
    <t>D026   	RJ - SEG QUINZENAL GRUPO B</t>
  </si>
  <si>
    <t>5222200 TERMINAIS RODOVIARIOS E FERROVIARIOS</t>
  </si>
  <si>
    <t>D026 - SES - RJ - SEG SEMANAL</t>
  </si>
  <si>
    <t>D026   	RJ - SEG SEMANAL</t>
  </si>
  <si>
    <t>5223100 ESTACIONAMENTO DE VEICULOS</t>
  </si>
  <si>
    <t>D026 - SXA - RJ - SEX QUINZENAL GRUPO A</t>
  </si>
  <si>
    <t>D026   	RJ - SEX QUINZENAL GRUPO A</t>
  </si>
  <si>
    <t>5229001 SERVICOS DE APOIO AO TRANSPORTE POR TAXI  INCLUSIVE CENTRAIS DE CHAMAD</t>
  </si>
  <si>
    <t>D026 - SXB - RJ - SEX QUINZENAL GRUPO B</t>
  </si>
  <si>
    <t>D026   	RJ - SEX QUINZENAL GRUPO B</t>
  </si>
  <si>
    <t>5229002 SERVICOS DE REBOQUE DE VEICULOS</t>
  </si>
  <si>
    <t>D026 - SXS - RJ - SEX SEMANAL</t>
  </si>
  <si>
    <t>D026   	RJ - SEX SEMANAL</t>
  </si>
  <si>
    <t>5229099 OUTRAS ATIVIDADES AUXILIARES DOS TRANSPORTES TERRESTRES NAO ESPECIFICA</t>
  </si>
  <si>
    <t>D026 - TEA - RJ - TER QUINZENAL GRUPO A</t>
  </si>
  <si>
    <t>D026   	RJ - TER QUINZENAL GRUPO A</t>
  </si>
  <si>
    <t>5232000 ATIVIDADES DE AGENCIAMENTO MARITIMO</t>
  </si>
  <si>
    <t>D026 - TEB - RJ - TER QUINZENAL GRUPO B</t>
  </si>
  <si>
    <t>D026   	RJ - TER QUINZENAL GRUPO B</t>
  </si>
  <si>
    <t>5239799 ATIVIDADES AUXILIARES DOS TRANSPORTES AQUAVIARIOS NAO ESPECIFICADAS AN</t>
  </si>
  <si>
    <t>D026 - TES - RJ - TER SEMANAL</t>
  </si>
  <si>
    <t>D026   	RJ - TER SEMANAL</t>
  </si>
  <si>
    <t>5240101 OPERACAO DOS AEROPORTOS E CAMPOS DE ATERRISSAGEM</t>
  </si>
  <si>
    <t>D027 - DIA - DIARIO</t>
  </si>
  <si>
    <t>D027   DIA DIARIO</t>
  </si>
  <si>
    <t>5240199 ATIVIDADES AUXILIARES DOS TRANSPORTES AEREOS  EXCETO OPERACAO DOS AERO</t>
  </si>
  <si>
    <t>D027 - QAA - RJ - QUA QUINZENAL GRUPO A</t>
  </si>
  <si>
    <t>D027   	RJ - QUA QUINZENAL GRUPO A</t>
  </si>
  <si>
    <t>5250802 ATIVIDADES DE DESPACHANTES ADUANEIROS</t>
  </si>
  <si>
    <t>D027 - QAB - RJ - QUA QUINZENAL GRUPO B</t>
  </si>
  <si>
    <t>D027   	RJ - QUA QUINZENAL GRUPO B</t>
  </si>
  <si>
    <t>5250804 ORGANIZACAO LOGISTICA DO TRANSPORTE DE CARGA</t>
  </si>
  <si>
    <t>D027 - QAS - RJ - QUA SEMANAL</t>
  </si>
  <si>
    <t>D027   	RJ - QUA SEMANAL</t>
  </si>
  <si>
    <t>5250805 OPERADOR DE TRANSPORTE MULTIMODAL - OTM</t>
  </si>
  <si>
    <t>D027 - QUA - RJ - QUI QUINZENAL GRUPO A</t>
  </si>
  <si>
    <t>D027   	RJ - QUI QUINZENAL GRUPO A</t>
  </si>
  <si>
    <t>5310501 ATIVIDADES DO CORREIO NACIONAL</t>
  </si>
  <si>
    <t>D027 - QUB - RJ - QUI QUINZENAL GRUPO B</t>
  </si>
  <si>
    <t>D027   	RJ - QUI QUINZENAL GRUPO B</t>
  </si>
  <si>
    <t>5310502 ATIVIDADES DE FRANQUEADAS DO CORREIO NACIONAL</t>
  </si>
  <si>
    <t>D027 - QUS - RJ - QUI SEMANAL</t>
  </si>
  <si>
    <t>D027   	RJ - QUI SEMANAL</t>
  </si>
  <si>
    <t>5320201 SERVICOS DE MALOTE NAO REALIZADOS PELO CORREIO NACIONAL</t>
  </si>
  <si>
    <t>D027 - SEA - RJ - SEG QUINZENAL GRUPO A</t>
  </si>
  <si>
    <t>D027   	RJ - SEG QUINZENAL GRUPO A</t>
  </si>
  <si>
    <t>5320202 SERVICOS DE ENTREGA RAPIDA</t>
  </si>
  <si>
    <t>D027 - SEB - RJ - SEG QUINZENAL GRUPO B</t>
  </si>
  <si>
    <t>D027   	RJ - SEG QUINZENAL GRUPO B</t>
  </si>
  <si>
    <t>5510801 HOTEIS</t>
  </si>
  <si>
    <t>D027 - SES - RJ - SEG SEMANAL</t>
  </si>
  <si>
    <t>D027   	RJ - SEG SEMANAL</t>
  </si>
  <si>
    <t>5510802 APART-HOTEIS</t>
  </si>
  <si>
    <t>D027 - SXA - RJ - SEX QUINZENAL GRUPO A</t>
  </si>
  <si>
    <t>D027   	RJ - SEX QUINZENAL GRUPO A</t>
  </si>
  <si>
    <t>5611201 RESTAURANTES E SIMILARES</t>
  </si>
  <si>
    <t>D027 - SXB - RJ - SEX QUINZENAL GRUPO B</t>
  </si>
  <si>
    <t>D027   	RJ - SEX QUINZENAL GRUPO B</t>
  </si>
  <si>
    <t>5611202 BARES E OUTROS ESTABELECIMENTOS ESPECIALIZADOS EM SERVIR BEBIDAS</t>
  </si>
  <si>
    <t>D027 - SXS - RJ - SEX SEMANAL</t>
  </si>
  <si>
    <t>D027   	RJ - SEX SEMANAL</t>
  </si>
  <si>
    <t>5611203 LANCHONETES  CASAS DE CHA  DE SUCOS E SIMILARES</t>
  </si>
  <si>
    <t>D027 - TEA - RJ - TER QUINZENAL GRUPO A</t>
  </si>
  <si>
    <t>D027   	RJ - TER QUINZENAL GRUPO A</t>
  </si>
  <si>
    <t>5620101 FORNECIMENTO DE ALIMENTOS PREPARADOS PREPONDERANTEMENTE PARA EMPRESAS</t>
  </si>
  <si>
    <t>D027 - TEB - RJ - TER QUINZENAL GRUPO B</t>
  </si>
  <si>
    <t>D027   	RJ - TER QUINZENAL GRUPO B</t>
  </si>
  <si>
    <t>5620102 BUFE</t>
  </si>
  <si>
    <t>D027 - TES - RJ - TER SEMANAL</t>
  </si>
  <si>
    <t>D027   	RJ - TER SEMANAL</t>
  </si>
  <si>
    <t>5620103 CANTINAS - SERVICOS DE ALIMENTACAO PRIVATIVOS</t>
  </si>
  <si>
    <t>D028 - DIA - DIARIO</t>
  </si>
  <si>
    <t>D028   DIA DIARIO</t>
  </si>
  <si>
    <t>5620104 FORNECIMENTO DE ALIMENTOS PREPARADOS PREPONDERANTEMENTE PARA CONSUMO D</t>
  </si>
  <si>
    <t>D028 - QAA - RJ - QUA QUINZENAL GRUPO A</t>
  </si>
  <si>
    <t>D028   	RJ - QUA QUINZENAL GRUPO A</t>
  </si>
  <si>
    <t>5811500 EDICAO DE LIVROS</t>
  </si>
  <si>
    <t>D028 - QAB - RJ - QUA QUINZENAL GRUPO B</t>
  </si>
  <si>
    <t>D028   	RJ - QUA QUINZENAL GRUPO B</t>
  </si>
  <si>
    <t>5812301 EDICAO DE JORNAIS DIARIOS</t>
  </si>
  <si>
    <t>D028 - QAS - RJ - QUA SEMANAL</t>
  </si>
  <si>
    <t>D028   	RJ - QUA SEMANAL</t>
  </si>
  <si>
    <t>5813100 EDICAO DE REVISTAS</t>
  </si>
  <si>
    <t>D028 - QUA - RJ - QUI QUINZENAL GRUPO A</t>
  </si>
  <si>
    <t>D028   	RJ - QUI QUINZENAL GRUPO A</t>
  </si>
  <si>
    <t>5819100 EDICAO DE CADASTROS  LISTAS E DE OUTROS PRODUTOS GRAFICOS</t>
  </si>
  <si>
    <t>D028 - QUB - RJ - QUI QUINZENAL GRUPO B</t>
  </si>
  <si>
    <t>D028   	RJ - QUI QUINZENAL GRUPO B</t>
  </si>
  <si>
    <t>5821200 EDICAO INTEGRADA A IMPRESSAO DE LIVROS</t>
  </si>
  <si>
    <t>D028 - QUS - RJ - QUI SEMANAL</t>
  </si>
  <si>
    <t>D028   	RJ - QUI SEMANAL</t>
  </si>
  <si>
    <t>5822101 EDICAO INTEGRADA A IMPRESSAO DE JORNAIS DIARIOS</t>
  </si>
  <si>
    <t>D028 - SEA - RJ - SEG QUINZENAL GRUPO A</t>
  </si>
  <si>
    <t>D028   	RJ - SEG QUINZENAL GRUPO A</t>
  </si>
  <si>
    <t>5823900 EDICAO INTEGRADA A IMPRESSAO DE REVISTAS</t>
  </si>
  <si>
    <t>D028 - SEB - RJ - SEG QUINZENAL GRUPO B</t>
  </si>
  <si>
    <t>D028   	RJ - SEG QUINZENAL GRUPO B</t>
  </si>
  <si>
    <t>5829800 EDICAO INTEGRADA A IMPRESSAO DE CADASTROS  LISTAS E DE OUTROS PRODUTOS</t>
  </si>
  <si>
    <t>D028 - SES - RJ - SEG SEMANAL</t>
  </si>
  <si>
    <t>D028   	RJ - SEG SEMANAL</t>
  </si>
  <si>
    <t>5911101 ESTUDIOS CINEMATOGRAFICOS</t>
  </si>
  <si>
    <t>D028 - SXA - RJ - SEX QUINZENAL GRUPO A</t>
  </si>
  <si>
    <t>D028   	RJ - SEX QUINZENAL GRUPO A</t>
  </si>
  <si>
    <t>5911102 PRODUCAO DE FILMES PARA PUBLICIDADE</t>
  </si>
  <si>
    <t>D028 - SXB - RJ - SEX QUINZENAL GRUPO B</t>
  </si>
  <si>
    <t>D028   	RJ - SEX QUINZENAL GRUPO B</t>
  </si>
  <si>
    <t>5911199 ATIVIDADES DE PRODUCAO CINEMATOGRAFICA  DE VIDEOS E DE PROGRAMAS DE TE</t>
  </si>
  <si>
    <t>D028 - SXS - RJ - SEX SEMANAL</t>
  </si>
  <si>
    <t>D028   	RJ - SEX SEMANAL</t>
  </si>
  <si>
    <t>5912099 ATIVIDADES DE POS-PRODUCAO CINEMATOGRAFICA  DE VIDEOS E DE PROGRAMAS D</t>
  </si>
  <si>
    <t>D028 - TEA - RJ - TER QUINZENAL GRUPO A</t>
  </si>
  <si>
    <t>D028   	RJ - TER QUINZENAL GRUPO A</t>
  </si>
  <si>
    <t>5914600 ATIVIDADES DE EXIBICAO CINEMATOGRAFICA</t>
  </si>
  <si>
    <t>D028 - TEB - RJ - TER QUINZENAL GRUPO B</t>
  </si>
  <si>
    <t>D028   	RJ - TER QUINZENAL GRUPO B</t>
  </si>
  <si>
    <t>5920100 ATIVIDADES DE GRAVACAO DE SOM E DE EDICAO DE MUSICA</t>
  </si>
  <si>
    <t>D028 - TES - RJ - TER SEMANAL</t>
  </si>
  <si>
    <t>D028   	RJ - TER SEMANAL</t>
  </si>
  <si>
    <t>6010100 ATIVIDADES DE RADIO</t>
  </si>
  <si>
    <t>D029 - DIA - DIARIO</t>
  </si>
  <si>
    <t>D029   DIA DIARIO</t>
  </si>
  <si>
    <t>6021700 ATIVIDADES DE TELEVISAO ABERTA</t>
  </si>
  <si>
    <t>D029 - QAA - RJ - QUA QUINZENAL GRUPO A</t>
  </si>
  <si>
    <t>D029   	RJ - QUA QUINZENAL GRUPO A</t>
  </si>
  <si>
    <t>6022501 PROGRAMADORAS</t>
  </si>
  <si>
    <t>D029 - QAB - RJ - QUA QUINZENAL GRUPO B</t>
  </si>
  <si>
    <t>D029   	RJ - QUA QUINZENAL GRUPO B</t>
  </si>
  <si>
    <t>6022502 ATIVIDADES RELACIONADAS A TELEVISAO POR ASSINATURA  EXCETO PROGRAMADOR</t>
  </si>
  <si>
    <t>D029 - QAS - RJ - QUA SEMANAL</t>
  </si>
  <si>
    <t>D029   	RJ - QUA SEMANAL</t>
  </si>
  <si>
    <t>6110801 SERVICOS DE TELEFONIA FIXA COMUTADA - STFC</t>
  </si>
  <si>
    <t>D029 - QUA - RJ - QUI QUINZENAL GRUPO A</t>
  </si>
  <si>
    <t>D029   	RJ - QUI QUINZENAL GRUPO A</t>
  </si>
  <si>
    <t>6110803 SERVICOS DE COMUNICACAO MULTIMIDIA - SCM</t>
  </si>
  <si>
    <t>D029 - QUB - RJ - QUI QUINZENAL GRUPO B</t>
  </si>
  <si>
    <t>D029   	RJ - QUI QUINZENAL GRUPO B</t>
  </si>
  <si>
    <t>6110899 SERVICOS DE TELECOMUNICACOES POR FIO NAO ESPECIFICADOS ANTERIORMENTE</t>
  </si>
  <si>
    <t>D029 - QUS - RJ - QUI SEMANAL</t>
  </si>
  <si>
    <t>D029   	RJ - QUI SEMANAL</t>
  </si>
  <si>
    <t>6120501 TELEFONIA MOVEL CELULAR</t>
  </si>
  <si>
    <t>D029 - SEA - RJ - SEG QUINZENAL GRUPO A</t>
  </si>
  <si>
    <t>D029   	RJ - SEG QUINZENAL GRUPO A</t>
  </si>
  <si>
    <t>6120599 SERVICOS DE TELECOMUNICACOES SEM FIO NAO ESPECIFICADOS ANTERIORMENTE</t>
  </si>
  <si>
    <t>D029 - SEB - RJ - SEG QUINZENAL GRUPO B</t>
  </si>
  <si>
    <t>D029   	RJ - SEG QUINZENAL GRUPO B</t>
  </si>
  <si>
    <t>6130200 TELECOMUNICACOES POR SATELITE</t>
  </si>
  <si>
    <t>D029 - SES - RJ - SEG SEMANAL</t>
  </si>
  <si>
    <t>D029   	RJ - SEG SEMANAL</t>
  </si>
  <si>
    <t>6141800 OPERADORAS DE TELEVISAO POR ASSINATURA POR CABO</t>
  </si>
  <si>
    <t>D029 - SXA - RJ - SEX QUINZENAL GRUPO A</t>
  </si>
  <si>
    <t>D029   	RJ - SEX QUINZENAL GRUPO A</t>
  </si>
  <si>
    <t>6143400 OPERADORAS DE TELEVISAO POR ASSINATURA POR SATELITE</t>
  </si>
  <si>
    <t>D029 - SXB - RJ - SEX QUINZENAL GRUPO B</t>
  </si>
  <si>
    <t>D029   	RJ - SEX QUINZENAL GRUPO B</t>
  </si>
  <si>
    <t>6190601 PROVEDORES DE ACESSO AS REDES DE COMUNICACOES</t>
  </si>
  <si>
    <t>D029 - SXS - RJ - SEX SEMANAL</t>
  </si>
  <si>
    <t>D029   	RJ - SEX SEMANAL</t>
  </si>
  <si>
    <t>6190602 PROVEDORES DE VOZ SOBRE PROTOCOLO INTERNET - VOIP</t>
  </si>
  <si>
    <t>D029 - TEA - RJ - TER QUINZENAL GRUPO A</t>
  </si>
  <si>
    <t>D029   	RJ - TER QUINZENAL GRUPO A</t>
  </si>
  <si>
    <t>6190699 OUTRAS ATIVIDADES DE TELECOMUNICACOES NAO ESPECIFICADAS ANTERIORMENTE</t>
  </si>
  <si>
    <t>D029 - TEB - RJ - TER QUINZENAL GRUPO B</t>
  </si>
  <si>
    <t>D029   	RJ - TER QUINZENAL GRUPO B</t>
  </si>
  <si>
    <t>6201501 DESENVOLVIMENTO DE PROGRAMAS DE COMPUTADOR SOB ENCOMENDA</t>
  </si>
  <si>
    <t>D029 - TES - RJ - TER SEMANAL</t>
  </si>
  <si>
    <t>D029   	RJ - TER SEMANAL</t>
  </si>
  <si>
    <t>6202300 DESENVOLVIMENTO E LICENCIAMENTO DE PROGRAMAS DE COMPUTADOR CUSTOMIZAVE</t>
  </si>
  <si>
    <t>D030 - DIA - DIARIO</t>
  </si>
  <si>
    <t>D030   DIA DIARIO</t>
  </si>
  <si>
    <t>6203100 DESENVOLVIMENTO E LICENCIAMENTO DE PROGRAMAS DE COMPUTADOR NAO-CUSTOMI</t>
  </si>
  <si>
    <t>D030 - QAA - RJ - QUA QUINZENAL GRUPO A</t>
  </si>
  <si>
    <t>D030   	RJ - QUA QUINZENAL GRUPO A</t>
  </si>
  <si>
    <t>6204000 CONSULTORIA EM TECNOLOGIA DA INFORMACAO</t>
  </si>
  <si>
    <t>D030 - QAB - RJ - QUA QUINZENAL GRUPO B</t>
  </si>
  <si>
    <t>D030   	RJ - QUA QUINZENAL GRUPO B</t>
  </si>
  <si>
    <t>6209100 SUPORTE TECNICO  MANUTENCAO E OUTROS SERVICOS EM TECNOLOGIA DA INFORMA</t>
  </si>
  <si>
    <t>D030 - QAS - RJ - QUA SEMANAL</t>
  </si>
  <si>
    <t>D030   	RJ - QUA SEMANAL</t>
  </si>
  <si>
    <t>6311900 TRATAMENTO DE DADOS  PROVEDORES DE SERVICOS DE APLICACAO E SERVICOS DE</t>
  </si>
  <si>
    <t>D030 - QUA - RJ - QUI QUINZENAL GRUPO A</t>
  </si>
  <si>
    <t>D030   	RJ - QUI QUINZENAL GRUPO A</t>
  </si>
  <si>
    <t>6319400 PORTAIS  PROVEDORES DE CONTEUDO E OUTROS SERVICOS DE INFORMACAO NA INT</t>
  </si>
  <si>
    <t>D030 - QUB - RJ - QUI QUINZENAL GRUPO B</t>
  </si>
  <si>
    <t>D030   	RJ - QUI QUINZENAL GRUPO B</t>
  </si>
  <si>
    <t>6399200 OUTRAS ATIVIDADES DE PRESTACAO DE SERVICOS DE INFORMACAO NAO ESPECIFIC</t>
  </si>
  <si>
    <t>D030 - QUS - RJ - QUI SEMANAL</t>
  </si>
  <si>
    <t>D030   	RJ - QUI SEMANAL</t>
  </si>
  <si>
    <t>6410700 BANCO CENTRAL</t>
  </si>
  <si>
    <t>D030 - SEA - RJ - SEG QUINZENAL GRUPO A</t>
  </si>
  <si>
    <t>D030   	RJ - SEG QUINZENAL GRUPO A</t>
  </si>
  <si>
    <t>6422100 BANCOS MULTIPLOS  COM CARTEIRA COMERCIAL</t>
  </si>
  <si>
    <t>D030 - SEB - RJ - SEG QUINZENAL GRUPO B</t>
  </si>
  <si>
    <t>D030   	RJ - SEG QUINZENAL GRUPO B</t>
  </si>
  <si>
    <t>6423900 CAIXAS ECONOMICAS</t>
  </si>
  <si>
    <t>D030 - SES - RJ - SEG SEMANAL</t>
  </si>
  <si>
    <t>D030   	RJ - SEG SEMANAL</t>
  </si>
  <si>
    <t>6424704 COOPERATIVAS DE CREDITO RURAL</t>
  </si>
  <si>
    <t>D030 - SXA - RJ - SEX QUINZENAL GRUPO A</t>
  </si>
  <si>
    <t>D030   	RJ - SEX QUINZENAL GRUPO A</t>
  </si>
  <si>
    <t>6431000 BANCOS MULTIPLOS  SEM CARTEIRA COMERCIAL</t>
  </si>
  <si>
    <t>D030 - SXB - RJ - SEX QUINZENAL GRUPO B</t>
  </si>
  <si>
    <t>D030   	RJ - SEX QUINZENAL GRUPO B</t>
  </si>
  <si>
    <t>6434400 AGENCIAS DE FOMENTO</t>
  </si>
  <si>
    <t>D030 - SXS - RJ - SEX SEMANAL</t>
  </si>
  <si>
    <t>D030   	RJ - SEX SEMANAL</t>
  </si>
  <si>
    <t>6435202 ASSOCIACOES DE POUPANCA E EMPRESTIMO</t>
  </si>
  <si>
    <t>D030 - TEA - RJ - TER QUINZENAL GRUPO A</t>
  </si>
  <si>
    <t>D030   	RJ - TER QUINZENAL GRUPO A</t>
  </si>
  <si>
    <t>6436100 SOCIEDADES DE CREDITO  FINANCIAMENTO E INVESTIMENTO - FINANCEIRAS</t>
  </si>
  <si>
    <t>D030 - TEB - RJ - TER QUINZENAL GRUPO B</t>
  </si>
  <si>
    <t>D030   	RJ - TER QUINZENAL GRUPO B</t>
  </si>
  <si>
    <t>6440900 ARRENDAMENTO MERCANTIL</t>
  </si>
  <si>
    <t>D030 - TES - RJ - TER SEMANAL</t>
  </si>
  <si>
    <t>D030   	RJ - TER SEMANAL</t>
  </si>
  <si>
    <t>6462000 HOLDINGS DE INSTITUICOES NAO-FINANCEIRAS</t>
  </si>
  <si>
    <t>D031 - DIA - DIARIO</t>
  </si>
  <si>
    <t>D031   DIA DIARIO</t>
  </si>
  <si>
    <t>6463800 OUTRAS SOCIEDADES DE PARTICIPACAO  EXCETO HOLDINGS</t>
  </si>
  <si>
    <t>D031 - QAA - RJ - QUA QUINZENAL GRUPO A</t>
  </si>
  <si>
    <t>D031   	RJ - QUA QUINZENAL GRUPO A</t>
  </si>
  <si>
    <t>6491300 SOCIEDADES DE FOMENTO MERCANTIL - FACTORING</t>
  </si>
  <si>
    <t>D031 - QAB - RJ - QUA QUINZENAL GRUPO B</t>
  </si>
  <si>
    <t>D031   	RJ - QUA QUINZENAL GRUPO B</t>
  </si>
  <si>
    <t>6511101 SOCIEDADE SEGURADORA DE SEGUROS VIDA</t>
  </si>
  <si>
    <t>D031 - QAS - RJ - QUA SEMANAL</t>
  </si>
  <si>
    <t>D031   	RJ - QUA SEMANAL</t>
  </si>
  <si>
    <t>6512000 SOCIEDADE SEGURADORA DE SEGUROS NAO VIDA</t>
  </si>
  <si>
    <t>D031 - QUA - RJ - QUI QUINZENAL GRUPO A</t>
  </si>
  <si>
    <t>D031   	RJ - QUI QUINZENAL GRUPO A</t>
  </si>
  <si>
    <t>6520100 SOCIEDADE SEGURADORA DE SEGUROS SAUDE</t>
  </si>
  <si>
    <t>D031 - QUB - RJ - QUI QUINZENAL GRUPO B</t>
  </si>
  <si>
    <t>D031   	RJ - QUI QUINZENAL GRUPO B</t>
  </si>
  <si>
    <t>6530800 RESSEGUROS</t>
  </si>
  <si>
    <t>D031 - QUS - RJ - QUI SEMANAL</t>
  </si>
  <si>
    <t>D031   	RJ - QUI SEMANAL</t>
  </si>
  <si>
    <t>6541300 PREVIDENCIA COMPLEMENTAR FECHADA</t>
  </si>
  <si>
    <t>D031 - SEA - RJ - SEG QUINZENAL GRUPO A</t>
  </si>
  <si>
    <t>D031   	RJ - SEG QUINZENAL GRUPO A</t>
  </si>
  <si>
    <t>6542100 PREVIDENCIA COMPLEMENTAR ABERTA</t>
  </si>
  <si>
    <t>D031 - SEB - RJ - SEG QUINZENAL GRUPO B</t>
  </si>
  <si>
    <t>D031   	RJ - SEG QUINZENAL GRUPO B</t>
  </si>
  <si>
    <t>6550200 PLANOS DE SAUDE</t>
  </si>
  <si>
    <t>D031 - SES - RJ - SEG SEMANAL</t>
  </si>
  <si>
    <t>D031   	RJ - SEG SEMANAL</t>
  </si>
  <si>
    <t>6611803 BOLSA DE MERCADORIAS E FUTUROS</t>
  </si>
  <si>
    <t>D031 - SXA - RJ - SEX QUINZENAL GRUPO A</t>
  </si>
  <si>
    <t>D031   	RJ - SEX QUINZENAL GRUPO A</t>
  </si>
  <si>
    <t>6611804 ADMINISTRACAO DE MERCADOS DE BALCAO ORGANIZADOS</t>
  </si>
  <si>
    <t>D031 - SXB - RJ - SEX QUINZENAL GRUPO B</t>
  </si>
  <si>
    <t>D031   	RJ - SEX QUINZENAL GRUPO B</t>
  </si>
  <si>
    <t>6612601 CORRETORAS DE TITULOS E VALORES MOBILIARIOS</t>
  </si>
  <si>
    <t>D031 - SXS - RJ - SEX SEMANAL</t>
  </si>
  <si>
    <t>D031   	RJ - SEX SEMANAL</t>
  </si>
  <si>
    <t>6612602 DISTRIBUIDORAS DE TITULOS E VALORES MOBILIARIOS</t>
  </si>
  <si>
    <t>D031 - TEA - RJ - TER QUINZENAL GRUPO A</t>
  </si>
  <si>
    <t>D031   	RJ - TER QUINZENAL GRUPO A</t>
  </si>
  <si>
    <t>6612603 CORRETORAS DE CAMBIO</t>
  </si>
  <si>
    <t>D031 - TEB - RJ - TER QUINZENAL GRUPO B</t>
  </si>
  <si>
    <t>D031   	RJ - TER QUINZENAL GRUPO B</t>
  </si>
  <si>
    <t>6613400 ADMINISTRACAO DE CARTOES DE CREDITO</t>
  </si>
  <si>
    <t>D031 - TES - RJ - TER SEMANAL</t>
  </si>
  <si>
    <t>D031   	RJ - TER SEMANAL</t>
  </si>
  <si>
    <t>6629100 ATIVIDADES AUXILIARES DOS SEGUROS  DA PREVIDENCIA COMPLEMENTAR E DOS P</t>
  </si>
  <si>
    <t>D032 - DIA - DIARIO</t>
  </si>
  <si>
    <t>D032   DIA DIARIO</t>
  </si>
  <si>
    <t>6810201 COMPRA E VENDA DE IMOVEIS PROPRIOS</t>
  </si>
  <si>
    <t>D032 - QAA - RJ - QUA QUINZENAL GRUPO A</t>
  </si>
  <si>
    <t>D032   	RJ - QUA QUINZENAL GRUPO A</t>
  </si>
  <si>
    <t>6810202 ALUGUEL DE IMOVEIS PROPRIOS</t>
  </si>
  <si>
    <t>D032 - QAB - RJ - QUA QUINZENAL GRUPO B</t>
  </si>
  <si>
    <t>D032   	RJ - QUA QUINZENAL GRUPO B</t>
  </si>
  <si>
    <t>6810203 LOTEAMENTO DE IMOVEIS PROPRIOS</t>
  </si>
  <si>
    <t>D032 - QAS - RJ - QUA SEMANAL</t>
  </si>
  <si>
    <t>D032   	RJ - QUA SEMANAL</t>
  </si>
  <si>
    <t>Cod_Banco</t>
  </si>
  <si>
    <t>Digito</t>
  </si>
  <si>
    <t xml:space="preserve">Nome do Banco </t>
  </si>
  <si>
    <t xml:space="preserve"> Incorporador Data</t>
  </si>
  <si>
    <t>BANCO DO BRASIL S.A</t>
  </si>
  <si>
    <t>BANCO DA AMAZÔNIA S.A</t>
  </si>
  <si>
    <t>BANCO DO NORDESTE DO BRASIL S.A</t>
  </si>
  <si>
    <t>CREDICOAMO CRÉDITO RURAL COOPERATIVA</t>
  </si>
  <si>
    <t>BNY MELLON BANCO S.A.</t>
  </si>
  <si>
    <t>BANCO AZTECA DO BRASIL S.A</t>
  </si>
  <si>
    <t>BANESTES S.A. BANCO DO ESTADO DO ESPIRITO</t>
  </si>
  <si>
    <t>BANCO ALFA S.A</t>
  </si>
  <si>
    <t>BANCO SANTANDER S.A .</t>
  </si>
  <si>
    <t xml:space="preserve">BANCO BRADESCO BBI S.A </t>
  </si>
  <si>
    <t xml:space="preserve"> 237-2 25/10/2004</t>
  </si>
  <si>
    <t>X</t>
  </si>
  <si>
    <t>BANCO DO ESTADO DO PARA S.A</t>
  </si>
  <si>
    <t>BANCO CARGILL S.A.</t>
  </si>
  <si>
    <t>BANCO DO ESTADO DO RIO GRANDE DO SUL S.A</t>
  </si>
  <si>
    <t>BANCO DO ESTADO DE SERGIPE S.A</t>
  </si>
  <si>
    <t>HIPERCARD BANCO MÚLTIPLO S.A</t>
  </si>
  <si>
    <t>BANCO BRADESCARD S.A</t>
  </si>
  <si>
    <t>BANCO BRACCE S/A</t>
  </si>
  <si>
    <t>BANCO MORGAN STANLEY DEAN WITTER S.A</t>
  </si>
  <si>
    <t>BPN BRASIL BANCO MÚLTIPLO S.A</t>
  </si>
  <si>
    <t>BRB - BANCO DE BRASILIA S.A</t>
  </si>
  <si>
    <t>BANCO J SAFRA S.A.</t>
  </si>
  <si>
    <t>BANCO CR2 S.A</t>
  </si>
  <si>
    <t>BANCO KDB DO BRASIL S.A</t>
  </si>
  <si>
    <t>BANCO INTERMEDIUM S.A .</t>
  </si>
  <si>
    <t>BES INVESTIMENTO DO BRASIL S.A . BANCO DE</t>
  </si>
  <si>
    <t>BANCO ORIGINAL DO AGRONEGÓCIO S.A</t>
  </si>
  <si>
    <t>BBN BANCO BRASILEIRO DE NEGÓCIOS</t>
  </si>
  <si>
    <t>BANCO TOPÁZIO S. A.</t>
  </si>
  <si>
    <t>BANCO DA CHINA BRASIL S. A</t>
  </si>
  <si>
    <t>UNIPRIME NORTE DO PARANÁ</t>
  </si>
  <si>
    <t>COOP CENTRAL DE CRED URBANO</t>
  </si>
  <si>
    <t>SCFI OBOE</t>
  </si>
  <si>
    <t>UNICRED CENTRAL SANTA CATARINA</t>
  </si>
  <si>
    <t>BANCO RANDON S.A</t>
  </si>
  <si>
    <t>CC REGIÃO DA MOGIANA</t>
  </si>
  <si>
    <t>UNICRED CENTRAL SP</t>
  </si>
  <si>
    <t>UNICRED CENTRAL RS</t>
  </si>
  <si>
    <t>BRICKELL S.A. CRÉDITO, FINANCIAMENTO E</t>
  </si>
  <si>
    <t>BANCO PETRA S.A</t>
  </si>
  <si>
    <t>BANCO BM&amp;F DE SERVIÇOS DE LIQUIDAÇÃO E</t>
  </si>
  <si>
    <t>COOP. CENTRAL DE CRÉDITO NOROESTE</t>
  </si>
  <si>
    <t>CREDIALIANÇA COOPERTIVA DE CREDITO RURAL</t>
  </si>
  <si>
    <t>CENTRAL INTERESTADUAL DE COOPERATIVAS DE</t>
  </si>
  <si>
    <t>CAIXA ECONOMICA FEDERAL</t>
  </si>
  <si>
    <t>BANCO BBM S.A</t>
  </si>
  <si>
    <t>UNICRED BRASIL CENTRAL</t>
  </si>
  <si>
    <t>CECOOPES-CENTRAL DAS COOP DE ECONOMIA E</t>
  </si>
  <si>
    <t>BANCO WESTERN UNION DO BRASIL S/A</t>
  </si>
  <si>
    <t>BANCO RODOBENS S.A</t>
  </si>
  <si>
    <t>BANCO GERADOR S.A</t>
  </si>
  <si>
    <t>BANCO BERJ S/A</t>
  </si>
  <si>
    <t>BANCO WOORI BANK DO BRASIL S.A</t>
  </si>
  <si>
    <t>BRASIL PLURAL S.A. BANCO MÚLTIPLO</t>
  </si>
  <si>
    <t xml:space="preserve">BANCO ITAU BBA S.A </t>
  </si>
  <si>
    <t>048-5 01/11/2004</t>
  </si>
  <si>
    <t>BANCO BRADESCO CARTÕES S.A .</t>
  </si>
  <si>
    <t>BANCO BTG PACTUAL S.A</t>
  </si>
  <si>
    <t>BANCO ORIGINAL S.A</t>
  </si>
  <si>
    <t>BANCO ARBI S.A</t>
  </si>
  <si>
    <t>BANCO DIBENS S.A</t>
  </si>
  <si>
    <t>BANCO JOHN DEERE S.A.</t>
  </si>
  <si>
    <t>BANCO BONSUCESSO S.A</t>
  </si>
  <si>
    <t>BANCO CREDIT AGRICOLE BRASIL S.ª</t>
  </si>
  <si>
    <t>BANCO FIBRA S.A</t>
  </si>
  <si>
    <t>BANCO CIFRA S.A</t>
  </si>
  <si>
    <t>BANCO BRADESCO S.A</t>
  </si>
  <si>
    <t>BANCO CLASSICO S.A</t>
  </si>
  <si>
    <t>BANCO MAXIMA S.A.</t>
  </si>
  <si>
    <t>BANCO ABC BRASIL S.A</t>
  </si>
  <si>
    <t>BANCO BOA VISTA INTERATLANTICO S.A</t>
  </si>
  <si>
    <t>BANCO INVESTCRED UNIBANCO S.A.</t>
  </si>
  <si>
    <t>BCV - BANCO DE CRÉDITO E VAREJO S.A.</t>
  </si>
  <si>
    <t>PARANA BANCO S.A</t>
  </si>
  <si>
    <t>BANCO CACIQUE S.A</t>
  </si>
  <si>
    <t>BANCO FATOR S.A</t>
  </si>
  <si>
    <t>BANCO CEDULA S.A.</t>
  </si>
  <si>
    <t>BANCO DE LA NACION ARGENTINA</t>
  </si>
  <si>
    <t>BANCO BMG S.A</t>
  </si>
  <si>
    <t>BANCO INDUSTRIAL E COMERCIAL S.A</t>
  </si>
  <si>
    <t>ITAÚ UNIBANCO S.A</t>
  </si>
  <si>
    <t>BANCO SOCIETE GENERALE BRASIL S.A.</t>
  </si>
  <si>
    <t>BANCO MIZUHO DO BRASIL S.A</t>
  </si>
  <si>
    <t>BANCO J P MORGAN S.A.</t>
  </si>
  <si>
    <t>BANCO MERCANTIL DO BRASIL S.A</t>
  </si>
  <si>
    <t>BANCO FBRADESCO FINANCIAMENTOS S.A</t>
  </si>
  <si>
    <t>HSBC BANK BRASIL S.A. - BANCO MULTIPLO</t>
  </si>
  <si>
    <t>BANCO CAPITAL S.A</t>
  </si>
  <si>
    <t>Tipo de endereço *</t>
  </si>
  <si>
    <t>Sigla edifício</t>
  </si>
  <si>
    <t>Sala</t>
  </si>
  <si>
    <t>Andar</t>
  </si>
  <si>
    <t>Bairro *</t>
  </si>
  <si>
    <t>País *</t>
  </si>
  <si>
    <t>Telefone *</t>
  </si>
  <si>
    <t>Extensão</t>
  </si>
  <si>
    <t>Telefone Celular *</t>
  </si>
  <si>
    <t>FAX</t>
  </si>
  <si>
    <t>E-mail *</t>
  </si>
  <si>
    <t>Tipo *</t>
  </si>
  <si>
    <t>Nº *</t>
  </si>
  <si>
    <t xml:space="preserve">Nº </t>
  </si>
  <si>
    <t>Tipo PN (Parceiro de Negócios) *</t>
  </si>
  <si>
    <t>Código Banco *</t>
  </si>
  <si>
    <t>Número da Agência *</t>
  </si>
  <si>
    <t>Conta bancária *</t>
  </si>
  <si>
    <t>Chave do Banco *</t>
  </si>
  <si>
    <t xml:space="preserve">Nº Fornecedor </t>
  </si>
  <si>
    <t>Tamanho da empresa *</t>
  </si>
  <si>
    <t>Código Regime Tributário *</t>
  </si>
  <si>
    <t>Tipo principal setor industrial *</t>
  </si>
  <si>
    <t>Empresa*</t>
  </si>
  <si>
    <t>Conta de conciliação*</t>
  </si>
  <si>
    <t>Chave de ordenação*</t>
  </si>
  <si>
    <t>Grupo administração tesouraria*</t>
  </si>
  <si>
    <t>País IRF*</t>
  </si>
  <si>
    <t>Nº antigo da conta *</t>
  </si>
  <si>
    <t>Condições pagamento*</t>
  </si>
  <si>
    <t>Formas de pagamento*</t>
  </si>
  <si>
    <t>Chave de agrupamento *</t>
  </si>
  <si>
    <t>EMPRESA I - Administração da Conta</t>
  </si>
  <si>
    <t>EMPRESA I - Pagamentos</t>
  </si>
  <si>
    <t>EMPRESA II - Pagamentos</t>
  </si>
  <si>
    <t>EMPRESA II - Administração da Conta</t>
  </si>
  <si>
    <t>EMPRESA III - Pagamentos</t>
  </si>
  <si>
    <t>EMPRESA III - Administração da Conta</t>
  </si>
  <si>
    <t>EMPRESA IV - Administração da Conta</t>
  </si>
  <si>
    <t>EMPRESA IV - Pagamentos</t>
  </si>
  <si>
    <t>COMPRAS - Dados de compras</t>
  </si>
  <si>
    <r>
      <t xml:space="preserve">Organização de Compras*                 </t>
    </r>
    <r>
      <rPr>
        <sz val="9"/>
        <color theme="0" tint="-0.499984740745262"/>
        <rFont val="Arial"/>
        <family val="2"/>
      </rPr>
      <t>'Dado Fixo'</t>
    </r>
  </si>
  <si>
    <t>Moeda do pedido*</t>
  </si>
  <si>
    <t>Condição de pagamento*</t>
  </si>
  <si>
    <t>Incoterms*</t>
  </si>
  <si>
    <t>Loc.Incoterm 1*</t>
  </si>
  <si>
    <t>Grupo esquema fornecedor*</t>
  </si>
  <si>
    <t>DADOS ADICIONAIS - PJ</t>
  </si>
  <si>
    <t>CNPJ *</t>
  </si>
  <si>
    <t>Parceiro de Negócios Geral - Identificação (Pessoa Física - prestação de serviço)</t>
  </si>
  <si>
    <t>Denominação*</t>
  </si>
  <si>
    <t>Nº Identificação*</t>
  </si>
  <si>
    <t>Data entrada*</t>
  </si>
  <si>
    <t>País*</t>
  </si>
  <si>
    <t>Região*</t>
  </si>
  <si>
    <r>
      <t xml:space="preserve">Tipo ID *                      </t>
    </r>
    <r>
      <rPr>
        <sz val="9"/>
        <color theme="0" tint="-0.499984740745262"/>
        <rFont val="Verdana"/>
        <family val="2"/>
      </rPr>
      <t>CBO</t>
    </r>
  </si>
  <si>
    <r>
      <t xml:space="preserve">Tipo ID *                    </t>
    </r>
    <r>
      <rPr>
        <sz val="9"/>
        <color theme="0" tint="-0.499984740745262"/>
        <rFont val="Verdana"/>
        <family val="2"/>
      </rPr>
      <t>PIS</t>
    </r>
  </si>
  <si>
    <r>
      <t xml:space="preserve">Valid.DSD*     </t>
    </r>
    <r>
      <rPr>
        <sz val="9"/>
        <color theme="0" tint="-0.499984740745262"/>
        <rFont val="Verdana"/>
        <family val="2"/>
      </rPr>
      <t>DD/MM/AAAA</t>
    </r>
  </si>
  <si>
    <r>
      <t xml:space="preserve">Válido até*  </t>
    </r>
    <r>
      <rPr>
        <sz val="9"/>
        <color theme="0" tint="-0.499984740745262"/>
        <rFont val="Verdana"/>
        <family val="2"/>
      </rPr>
      <t xml:space="preserve">  DD/MM/AAAA</t>
    </r>
  </si>
  <si>
    <r>
      <t xml:space="preserve">Valid.DSD*      </t>
    </r>
    <r>
      <rPr>
        <sz val="9"/>
        <color theme="0" tint="-0.499984740745262"/>
        <rFont val="Verdana"/>
        <family val="2"/>
      </rPr>
      <t>DD/MM/AAAA</t>
    </r>
  </si>
  <si>
    <r>
      <t xml:space="preserve">Válido até*     </t>
    </r>
    <r>
      <rPr>
        <sz val="9"/>
        <color theme="0" tint="-0.499984740745262"/>
        <rFont val="Verdana"/>
        <family val="2"/>
      </rPr>
      <t>DD/MM/AAAA</t>
    </r>
  </si>
  <si>
    <t>Unidade Federação</t>
  </si>
  <si>
    <t>Grupo de Fornecedores</t>
  </si>
  <si>
    <t>Insumos</t>
  </si>
  <si>
    <t>Serviços</t>
  </si>
  <si>
    <t>Obras</t>
  </si>
  <si>
    <t>Grupo de Fornecedores - Insumos</t>
  </si>
  <si>
    <t>Descartáveis</t>
  </si>
  <si>
    <t>Embalagens</t>
  </si>
  <si>
    <t>EPI</t>
  </si>
  <si>
    <t>Etiquetas</t>
  </si>
  <si>
    <t>Impressos Gráficos</t>
  </si>
  <si>
    <t>Insumo Controlado</t>
  </si>
  <si>
    <t>Insumos Alimentícios</t>
  </si>
  <si>
    <t>Insumos Análises Clínica</t>
  </si>
  <si>
    <t>Insumos Coleta</t>
  </si>
  <si>
    <t>Insumos Químicos</t>
  </si>
  <si>
    <t>Insumos RDI</t>
  </si>
  <si>
    <t>Itens personalizados</t>
  </si>
  <si>
    <t>Materiais Diretos - Outros</t>
  </si>
  <si>
    <t>Material de Escritório</t>
  </si>
  <si>
    <t>Material de Higiene/Limpeza</t>
  </si>
  <si>
    <t>Medicamentos</t>
  </si>
  <si>
    <t>Sem classificação. Fornecedor bloqueado.</t>
  </si>
  <si>
    <t>Uniformes</t>
  </si>
  <si>
    <t>Vacina</t>
  </si>
  <si>
    <t>Grupo de Fornecedores - Serviços</t>
  </si>
  <si>
    <t>Ambulancia</t>
  </si>
  <si>
    <t>Arquivo Morto</t>
  </si>
  <si>
    <t>Auditoria</t>
  </si>
  <si>
    <t>Beneficios</t>
  </si>
  <si>
    <t>CFTV e Alarme</t>
  </si>
  <si>
    <t>Coleta de Resíduos</t>
  </si>
  <si>
    <t>Consultoria</t>
  </si>
  <si>
    <t>Consultoria Financeira</t>
  </si>
  <si>
    <t>Desjejum</t>
  </si>
  <si>
    <t>Estacionamento</t>
  </si>
  <si>
    <t>Franquia</t>
  </si>
  <si>
    <t>Honorários Advocaticios</t>
  </si>
  <si>
    <t>Jardinagem</t>
  </si>
  <si>
    <t>Lavanderia</t>
  </si>
  <si>
    <t>Limpeza</t>
  </si>
  <si>
    <t>Manobrista</t>
  </si>
  <si>
    <t>Portaria</t>
  </si>
  <si>
    <t>Seguros</t>
  </si>
  <si>
    <t>Transporte</t>
  </si>
  <si>
    <t>Treinamento</t>
  </si>
  <si>
    <t>Turismo</t>
  </si>
  <si>
    <t>Utilities</t>
  </si>
  <si>
    <t>Grupo de Fornecedores - Obras</t>
  </si>
  <si>
    <t>Ar Condicionado - Equipamento</t>
  </si>
  <si>
    <t>Ar Condicionado - Instalação</t>
  </si>
  <si>
    <t>Bombeiro</t>
  </si>
  <si>
    <t>Caçamba</t>
  </si>
  <si>
    <t>Chaveiro</t>
  </si>
  <si>
    <t>Cívil</t>
  </si>
  <si>
    <t>Comunicação Visual</t>
  </si>
  <si>
    <t>Detetização</t>
  </si>
  <si>
    <t>Elétrica - Equipamentos</t>
  </si>
  <si>
    <t>Elétrica - Mão de Obra</t>
  </si>
  <si>
    <t xml:space="preserve">Elevador </t>
  </si>
  <si>
    <t>Forros e Divisórias</t>
  </si>
  <si>
    <t>Garrafao</t>
  </si>
  <si>
    <t>Laudo</t>
  </si>
  <si>
    <t>Manutenção Predial</t>
  </si>
  <si>
    <t>Material de Construção</t>
  </si>
  <si>
    <t>Móveis</t>
  </si>
  <si>
    <t>Paisagismo</t>
  </si>
  <si>
    <t>Pneumático</t>
  </si>
  <si>
    <t>Projeto</t>
  </si>
  <si>
    <t>Tapeçaria</t>
  </si>
  <si>
    <t>Vidraçaria</t>
  </si>
  <si>
    <t>APARELHOS E EQUIPAMENTOS (AC/RDI/Coleta)</t>
  </si>
  <si>
    <t>Aparelhos e Equipamentos (diversos)</t>
  </si>
  <si>
    <t>Calibracao de equipamentos</t>
  </si>
  <si>
    <t>Colaborador</t>
  </si>
  <si>
    <t>Comissão Representantes</t>
  </si>
  <si>
    <t>Exames Terceiros</t>
  </si>
  <si>
    <t>Gases</t>
  </si>
  <si>
    <t>HARDWARE e SOFTWARE</t>
  </si>
  <si>
    <t>Link de Dados</t>
  </si>
  <si>
    <t>Periféricos</t>
  </si>
  <si>
    <t>Provisão de Serviços Médicos</t>
  </si>
  <si>
    <t>Serviços de Manutenção Equipamentos (AC e RDI)</t>
  </si>
  <si>
    <t>Serviços de Tecnologia da Informação</t>
  </si>
  <si>
    <t>Seviços de Marketing</t>
  </si>
  <si>
    <t>TI e DD (Débito Direto)</t>
  </si>
  <si>
    <t>Grupo de Fornecedores - TI e DD (Débito Direto)</t>
  </si>
  <si>
    <t>Grupo de Fornecedor - Insumos</t>
  </si>
  <si>
    <t>Grupo de Fornecedor *</t>
  </si>
  <si>
    <t>Grupo de Fornecedor - Serviços</t>
  </si>
  <si>
    <t>Grupo de Fornecedor - Obras</t>
  </si>
  <si>
    <t>Grupo de Fornecedor - TI e DD (Débito Direto)</t>
  </si>
  <si>
    <t>categoria conta contrato</t>
  </si>
  <si>
    <t>10-Privado</t>
  </si>
  <si>
    <t>20-Apoio</t>
  </si>
  <si>
    <t>30-Hospitais</t>
  </si>
  <si>
    <t>40-Premium</t>
  </si>
  <si>
    <t>50-Pesquisa Clínica</t>
  </si>
  <si>
    <t>60-Público</t>
  </si>
  <si>
    <t>CBO</t>
  </si>
  <si>
    <t>tipo de identificação</t>
  </si>
  <si>
    <r>
      <t xml:space="preserve">Data entrada*    </t>
    </r>
    <r>
      <rPr>
        <sz val="9"/>
        <color theme="0" tint="-0.499984740745262"/>
        <rFont val="Verdana"/>
        <family val="2"/>
      </rPr>
      <t>DD/MM/AAAA</t>
    </r>
  </si>
  <si>
    <t>* Preenchimento obrigatório</t>
  </si>
  <si>
    <t>ABA Endereço</t>
  </si>
  <si>
    <t>Nome / Razão Social *</t>
  </si>
  <si>
    <t>Nome Fantasia</t>
  </si>
  <si>
    <t xml:space="preserve">Termo para Pesquisa </t>
  </si>
  <si>
    <t>Rua *</t>
  </si>
  <si>
    <t>Complemento</t>
  </si>
  <si>
    <t>Cidade *</t>
  </si>
  <si>
    <t>Estado *</t>
  </si>
  <si>
    <t>CEP *</t>
  </si>
  <si>
    <t>Código Postal</t>
  </si>
  <si>
    <t>Fuso horário</t>
  </si>
  <si>
    <t>Domicílio fiscal</t>
  </si>
  <si>
    <t>Observações</t>
  </si>
  <si>
    <t>ABA - Identificação</t>
  </si>
  <si>
    <r>
      <t>Data de fundação</t>
    </r>
    <r>
      <rPr>
        <sz val="9"/>
        <color theme="0" tint="-0.499984740745262"/>
        <rFont val="Verdana"/>
        <family val="2"/>
      </rPr>
      <t xml:space="preserve"> dd/mm/aaaa</t>
    </r>
  </si>
  <si>
    <r>
      <t>Data da liquidação</t>
    </r>
    <r>
      <rPr>
        <sz val="9"/>
        <color theme="0" tint="-0.499984740745262"/>
        <rFont val="Verdana"/>
        <family val="2"/>
      </rPr>
      <t xml:space="preserve"> dd/mm/aaaa</t>
    </r>
  </si>
  <si>
    <t>ABA - Pagamentos</t>
  </si>
  <si>
    <t>Dígito *</t>
  </si>
  <si>
    <t>Dígito da agência</t>
  </si>
  <si>
    <t>Dígito da conta bancária *</t>
  </si>
  <si>
    <t xml:space="preserve">Chave de Controle </t>
  </si>
  <si>
    <t>Nome da Instituição Financeira</t>
  </si>
  <si>
    <t>CADASTRO CORPORATIVO</t>
  </si>
  <si>
    <t>Menu Principal</t>
  </si>
  <si>
    <t>Cadastro de Fornecedores</t>
  </si>
  <si>
    <t>BR - Brasil</t>
  </si>
  <si>
    <t>AD - Andorra</t>
  </si>
  <si>
    <t>AE - EmirÁrabUnids.</t>
  </si>
  <si>
    <t>AF - Afeganistão</t>
  </si>
  <si>
    <t>AG - Antígua/Barbuda</t>
  </si>
  <si>
    <t>AI - Anguilla</t>
  </si>
  <si>
    <t>AL - Albânia</t>
  </si>
  <si>
    <t>AM - Armênia</t>
  </si>
  <si>
    <t>AN - Antilhas Horlandesas</t>
  </si>
  <si>
    <t>AO - Angola</t>
  </si>
  <si>
    <t>AQ - Antártica</t>
  </si>
  <si>
    <t>AR - Argentina</t>
  </si>
  <si>
    <t>AS - Samoa Americana</t>
  </si>
  <si>
    <t>AT - Áustria</t>
  </si>
  <si>
    <t>AU - Austrália</t>
  </si>
  <si>
    <t>AW - Aruba</t>
  </si>
  <si>
    <t>AX - Ilhas Aland</t>
  </si>
  <si>
    <t>AZ - Azerbaijão</t>
  </si>
  <si>
    <t>BA - Bósnia-Herzeg.</t>
  </si>
  <si>
    <t>BB - Barbados</t>
  </si>
  <si>
    <t>BD - Bangladesh</t>
  </si>
  <si>
    <t>BE - Bélgica</t>
  </si>
  <si>
    <t>BF - Burquina Faso</t>
  </si>
  <si>
    <t>BG - Bulgária</t>
  </si>
  <si>
    <t>BH - Barein</t>
  </si>
  <si>
    <t>BI - Burundi</t>
  </si>
  <si>
    <t>BJ - Benin</t>
  </si>
  <si>
    <t>BL - Azul</t>
  </si>
  <si>
    <t>BM - Bermudas</t>
  </si>
  <si>
    <t>BN - Brunei</t>
  </si>
  <si>
    <t>BO - Bolívia</t>
  </si>
  <si>
    <t>BQ - Bonaire, Saba</t>
  </si>
  <si>
    <t>BS - Bahamas</t>
  </si>
  <si>
    <t>BT - Butão</t>
  </si>
  <si>
    <t>BV - Ilhas Bouvet</t>
  </si>
  <si>
    <t>BW - Botsuana</t>
  </si>
  <si>
    <t>BY - Bielo-Rússia</t>
  </si>
  <si>
    <t>BZ - Belize</t>
  </si>
  <si>
    <t>CA - Canadá</t>
  </si>
  <si>
    <t>CC - Ilhas Coco</t>
  </si>
  <si>
    <t>CD - República Congo</t>
  </si>
  <si>
    <t>CF - RepCentroAfric.</t>
  </si>
  <si>
    <t>CG - Congo</t>
  </si>
  <si>
    <t>CH - Suíça</t>
  </si>
  <si>
    <t>CI - Costa do Marfim</t>
  </si>
  <si>
    <t>CK - Ilha Cook</t>
  </si>
  <si>
    <t>CL - Chile</t>
  </si>
  <si>
    <t>CM - Camarões</t>
  </si>
  <si>
    <t>CN - China</t>
  </si>
  <si>
    <t>CO - Colômbia</t>
  </si>
  <si>
    <t>CR - Costa Rica</t>
  </si>
  <si>
    <t>CS - Sérvia/Montngro</t>
  </si>
  <si>
    <t>CU - Cuba</t>
  </si>
  <si>
    <t>CV - Cabo Verde</t>
  </si>
  <si>
    <t>CW - Curaçao</t>
  </si>
  <si>
    <t>CX - Ilha Christmas</t>
  </si>
  <si>
    <t>CY - Chipre</t>
  </si>
  <si>
    <t>CZ - RepúblicaTcheca</t>
  </si>
  <si>
    <t>DE - Alemanha</t>
  </si>
  <si>
    <t>DJ - Djibuti</t>
  </si>
  <si>
    <t>DK - Dinamarca</t>
  </si>
  <si>
    <t>DM - Dominica</t>
  </si>
  <si>
    <t>DO - Rep.Dominicana</t>
  </si>
  <si>
    <t>DZ - Argélia</t>
  </si>
  <si>
    <t>EC - Equador</t>
  </si>
  <si>
    <t>EE - Estônia</t>
  </si>
  <si>
    <t>EG - Egito</t>
  </si>
  <si>
    <t>EH - Saara Ocidental</t>
  </si>
  <si>
    <t>ER - Eritréia</t>
  </si>
  <si>
    <t>ES - Espanha</t>
  </si>
  <si>
    <t>ET - Etiópia</t>
  </si>
  <si>
    <t>EU - União Européia</t>
  </si>
  <si>
    <t>FI - Finlândia</t>
  </si>
  <si>
    <t>FJ - Fiji</t>
  </si>
  <si>
    <t>FK - Ilhas Malvinas</t>
  </si>
  <si>
    <t>FM - Micronésia</t>
  </si>
  <si>
    <t>FO - Ilhas Faroé</t>
  </si>
  <si>
    <t>FR - França</t>
  </si>
  <si>
    <t>GA - Gabão</t>
  </si>
  <si>
    <t>GB - Reino Unido</t>
  </si>
  <si>
    <t>GD - Granada</t>
  </si>
  <si>
    <t>GE - Geórgia</t>
  </si>
  <si>
    <t>GF - Guiana Francesa</t>
  </si>
  <si>
    <t>GG - Guernsey</t>
  </si>
  <si>
    <t>GH - Gana</t>
  </si>
  <si>
    <t>GI - Gibraltar</t>
  </si>
  <si>
    <t>GL - Groenlândia</t>
  </si>
  <si>
    <t>GM - Gâmbia</t>
  </si>
  <si>
    <t>GN - Guiné</t>
  </si>
  <si>
    <t>GP - Guadalupe</t>
  </si>
  <si>
    <t>GQ - Guiné Equator.</t>
  </si>
  <si>
    <t>GR - Grécia</t>
  </si>
  <si>
    <t>GS - Ilhas Sandwich</t>
  </si>
  <si>
    <t>GT - Guatemala</t>
  </si>
  <si>
    <t>GU - Guam</t>
  </si>
  <si>
    <t>GW - Guiné-Bissau</t>
  </si>
  <si>
    <t>GY - Guiana</t>
  </si>
  <si>
    <t>HK - Hong Kong</t>
  </si>
  <si>
    <t>HM - Heard/Ilh.McDon</t>
  </si>
  <si>
    <t>HN - Honduras</t>
  </si>
  <si>
    <t>HR - Croácia</t>
  </si>
  <si>
    <t>HT - Haiti</t>
  </si>
  <si>
    <t>HU - Hungria</t>
  </si>
  <si>
    <t>ID - Indonésia</t>
  </si>
  <si>
    <t>IE - Irlanda</t>
  </si>
  <si>
    <t>IL - Israel</t>
  </si>
  <si>
    <t>IM - Ilha de Man</t>
  </si>
  <si>
    <t>IN - Índia</t>
  </si>
  <si>
    <t>IO - Terr.Brit.Oc.In</t>
  </si>
  <si>
    <t>IQ - Iraque</t>
  </si>
  <si>
    <t>IR - Irã</t>
  </si>
  <si>
    <t>IS - Islândia</t>
  </si>
  <si>
    <t>IT - Itália</t>
  </si>
  <si>
    <t>JE - Jérsei</t>
  </si>
  <si>
    <t>JM - Jamaica</t>
  </si>
  <si>
    <t>JO - Jordânia</t>
  </si>
  <si>
    <t>JP - Japão</t>
  </si>
  <si>
    <t>KE - Quênia</t>
  </si>
  <si>
    <t>KG - Quirguistão</t>
  </si>
  <si>
    <t>KH - Camboja</t>
  </si>
  <si>
    <t>KI - Kiribati</t>
  </si>
  <si>
    <t>KM - Comores</t>
  </si>
  <si>
    <t>KN - S.Crist.e Névis</t>
  </si>
  <si>
    <t>KP - Coréia do Norte</t>
  </si>
  <si>
    <t>KR - Coréia do Sul</t>
  </si>
  <si>
    <t>KW - Kuaite</t>
  </si>
  <si>
    <t>KY - Ilhas Cayman</t>
  </si>
  <si>
    <t>KZ - Cazaquistão</t>
  </si>
  <si>
    <t>LA - Laos</t>
  </si>
  <si>
    <t>LB - Líbano</t>
  </si>
  <si>
    <t>LC - Santa Lúcia</t>
  </si>
  <si>
    <t>LI - Liechtenstein</t>
  </si>
  <si>
    <t>LK - Sri Lanka</t>
  </si>
  <si>
    <t>LR - Libéria</t>
  </si>
  <si>
    <t>LS - Lesoto</t>
  </si>
  <si>
    <t>LT - Lituânia</t>
  </si>
  <si>
    <t>LU - Luxemburgo</t>
  </si>
  <si>
    <t>LV - Letônia</t>
  </si>
  <si>
    <t>LY - Líbia</t>
  </si>
  <si>
    <t>MA - Marrocos</t>
  </si>
  <si>
    <t>MC - Mônaco</t>
  </si>
  <si>
    <t>MD - Moldova</t>
  </si>
  <si>
    <t>ME - Montenegro</t>
  </si>
  <si>
    <t>MF - San Martin</t>
  </si>
  <si>
    <t>MG - Madagascar</t>
  </si>
  <si>
    <t>MH - Ilhas Marshall</t>
  </si>
  <si>
    <t>MK - Macedônia</t>
  </si>
  <si>
    <t>ML - Mali</t>
  </si>
  <si>
    <t>MM - Myanmar</t>
  </si>
  <si>
    <t>MN - Mongólia</t>
  </si>
  <si>
    <t>MO - Macau</t>
  </si>
  <si>
    <t>MP - I.Marianas Nrt.</t>
  </si>
  <si>
    <t>MQ - Martinica</t>
  </si>
  <si>
    <t>MR - Mauritânia</t>
  </si>
  <si>
    <t>MS - Montserrat</t>
  </si>
  <si>
    <t>MT - Malta</t>
  </si>
  <si>
    <t>MU - Maurício</t>
  </si>
  <si>
    <t>MV - Maldivas</t>
  </si>
  <si>
    <t>MW - Maláwi</t>
  </si>
  <si>
    <t>MX - México</t>
  </si>
  <si>
    <t>MY - Malásia</t>
  </si>
  <si>
    <t>MZ - Moçambique</t>
  </si>
  <si>
    <t>NA - Namíbia</t>
  </si>
  <si>
    <t>NC - Nova Caledônia</t>
  </si>
  <si>
    <t>NE - Níger</t>
  </si>
  <si>
    <t>NF - Ilha Norfolk</t>
  </si>
  <si>
    <t>NG - Nigéria</t>
  </si>
  <si>
    <t>NI - Nicarágua</t>
  </si>
  <si>
    <t>NL - Países Baixos</t>
  </si>
  <si>
    <t>NO - Noruega</t>
  </si>
  <si>
    <t>NP - Nepal</t>
  </si>
  <si>
    <t>NR - Nauru</t>
  </si>
  <si>
    <t>NT - OTAN</t>
  </si>
  <si>
    <t>NU - Niue</t>
  </si>
  <si>
    <t>NZ - Nova Zelândia</t>
  </si>
  <si>
    <t>OM - Omã</t>
  </si>
  <si>
    <t>OR - Alaranjado</t>
  </si>
  <si>
    <t>PA - Panamá</t>
  </si>
  <si>
    <t>PE - Peru</t>
  </si>
  <si>
    <t>PF - PolinésiaFranc.</t>
  </si>
  <si>
    <t>PG - Papua NovaGuiné</t>
  </si>
  <si>
    <t>PH - Filipinas</t>
  </si>
  <si>
    <t>PK - Paquistão</t>
  </si>
  <si>
    <t>PL - Polônia</t>
  </si>
  <si>
    <t>PM - S.Pedro,Miquel.</t>
  </si>
  <si>
    <t>PN - Ilha Pitcairn</t>
  </si>
  <si>
    <t>PR - Porto Rico</t>
  </si>
  <si>
    <t>PS - Palestina</t>
  </si>
  <si>
    <t>PT - Portugal</t>
  </si>
  <si>
    <t>PW - Palau</t>
  </si>
  <si>
    <t>PY - Paraguai</t>
  </si>
  <si>
    <t>QA - Catar</t>
  </si>
  <si>
    <t>RE - Reunião</t>
  </si>
  <si>
    <t>RO - Romênia</t>
  </si>
  <si>
    <t>RS - Servia</t>
  </si>
  <si>
    <t>RU - Federação Russa</t>
  </si>
  <si>
    <t>RW - Ruanda</t>
  </si>
  <si>
    <t>SA - Arábia Saudita</t>
  </si>
  <si>
    <t>SB - Ilhas Salomão</t>
  </si>
  <si>
    <t>SC - Seicheles</t>
  </si>
  <si>
    <t>SD - Sudão</t>
  </si>
  <si>
    <t>SE - Suécia</t>
  </si>
  <si>
    <t>SG - Cingapura</t>
  </si>
  <si>
    <t>SH - Santa Helena</t>
  </si>
  <si>
    <t>SI - Eslovênia</t>
  </si>
  <si>
    <t>SJ - Svalbard</t>
  </si>
  <si>
    <t>SK - Eslováquia</t>
  </si>
  <si>
    <t>SL - Serra Leoa</t>
  </si>
  <si>
    <t>SM - San Marino</t>
  </si>
  <si>
    <t>SN - Senegal</t>
  </si>
  <si>
    <t>SO - Somália</t>
  </si>
  <si>
    <t>SR - Suriname</t>
  </si>
  <si>
    <t>SS - Sudão do Sul</t>
  </si>
  <si>
    <t>ST - S.Tomé,Príncipe</t>
  </si>
  <si>
    <t>SV - El Salvador</t>
  </si>
  <si>
    <t>SX - São Martinho</t>
  </si>
  <si>
    <t>SY - Síria</t>
  </si>
  <si>
    <t>SZ - Suazilândia</t>
  </si>
  <si>
    <t>TC - I.Turcas,Caicos</t>
  </si>
  <si>
    <t>TD - Chade</t>
  </si>
  <si>
    <t>TF - TerMerid.França</t>
  </si>
  <si>
    <t>TG - Togo</t>
  </si>
  <si>
    <t>TH - Tailândia</t>
  </si>
  <si>
    <t>TJ - Tadjiquistão</t>
  </si>
  <si>
    <t>TK - Ilhas Toquelau</t>
  </si>
  <si>
    <t>TL - Timor Leste</t>
  </si>
  <si>
    <t>TM - Turcomenistão</t>
  </si>
  <si>
    <t>TN - Tunísia</t>
  </si>
  <si>
    <t>TO - Tonga</t>
  </si>
  <si>
    <t>TP - Timor Leste</t>
  </si>
  <si>
    <t>TR - Turquia</t>
  </si>
  <si>
    <t>TT - Trinidad,Tobago</t>
  </si>
  <si>
    <t>TV - Tuvalu</t>
  </si>
  <si>
    <t>TW - Taiwan</t>
  </si>
  <si>
    <t>TZ - Tanzânia</t>
  </si>
  <si>
    <t>UA - Ucrânia</t>
  </si>
  <si>
    <t>UG - Uganda</t>
  </si>
  <si>
    <t>UM - I.Menores EUA</t>
  </si>
  <si>
    <t>UN - Nações Unidas</t>
  </si>
  <si>
    <t>US - EUA</t>
  </si>
  <si>
    <t>UY - Uruguai</t>
  </si>
  <si>
    <t>UZ - Uzbequistão</t>
  </si>
  <si>
    <t>VA - Vaticano</t>
  </si>
  <si>
    <t>VC - São Vicente</t>
  </si>
  <si>
    <t>VE - Venezuela</t>
  </si>
  <si>
    <t>VG - I.Virgens Brit.</t>
  </si>
  <si>
    <t>VI - I.Virgens Amer.</t>
  </si>
  <si>
    <t>VN - Vietnã</t>
  </si>
  <si>
    <t>VU - Vanuato</t>
  </si>
  <si>
    <t>WF - Wallis,Futuna</t>
  </si>
  <si>
    <t>WS - Samoa Ocidental</t>
  </si>
  <si>
    <t>YE - Iêmen</t>
  </si>
  <si>
    <t>YT - Mayotte</t>
  </si>
  <si>
    <t>ZA - África do Sul</t>
  </si>
  <si>
    <t>ZM - Zâmbia</t>
  </si>
  <si>
    <t>ZW - Zimbábue</t>
  </si>
  <si>
    <t>país</t>
  </si>
  <si>
    <t>1 - EPP (Empresa Pequeno Porte)</t>
  </si>
  <si>
    <t>2 - EIRELI (Empresa Individual de Responsabilidade Limitada)</t>
  </si>
  <si>
    <t>4 - MEI (Micro Empresa Individual)</t>
  </si>
  <si>
    <t>5 - SA (Sociedade Anônima)</t>
  </si>
  <si>
    <t>6 - Ltda (Limitada)</t>
  </si>
  <si>
    <t>3 - Emp. Normal - Empresa Normal</t>
  </si>
  <si>
    <t>7 - KGaA - KGaA</t>
  </si>
  <si>
    <t>8 - KG - KG</t>
  </si>
  <si>
    <t>9 - GmbH &amp; Co KG - GmbH &amp; Co KG</t>
  </si>
  <si>
    <t>10 - OHG - OHG</t>
  </si>
  <si>
    <t>11 - GbR - GbR</t>
  </si>
  <si>
    <t>12 - Co., Ltd. - Co., Ltd.</t>
  </si>
  <si>
    <t>Principal / Matriz</t>
  </si>
  <si>
    <t>Endereço de Cobrança</t>
  </si>
  <si>
    <t>Casa de Férias</t>
  </si>
  <si>
    <t>Tipo de endereço 2 *</t>
  </si>
  <si>
    <t>Rua 2*</t>
  </si>
  <si>
    <t>Nº 2*</t>
  </si>
  <si>
    <t>Complemento 2</t>
  </si>
  <si>
    <t>Sigla edifício 2</t>
  </si>
  <si>
    <t>Andar 2</t>
  </si>
  <si>
    <t>Sala 2</t>
  </si>
  <si>
    <t>Bairro 2 *</t>
  </si>
  <si>
    <t>Cidade 2*</t>
  </si>
  <si>
    <t>Estado 2*</t>
  </si>
  <si>
    <t>CEP 2*</t>
  </si>
  <si>
    <t>País 2*</t>
  </si>
  <si>
    <t>Fuso horário 2</t>
  </si>
  <si>
    <t>Domicílio fiscal 2</t>
  </si>
  <si>
    <t>Telefone 2*</t>
  </si>
  <si>
    <t>Extensão 2</t>
  </si>
  <si>
    <t>Telefone Celular 2*</t>
  </si>
  <si>
    <t>FAX 2</t>
  </si>
  <si>
    <t>E-mail 2*</t>
  </si>
  <si>
    <t>Observações 2</t>
  </si>
  <si>
    <t>CNAE fiscal *</t>
  </si>
  <si>
    <t>Natureza juridica *</t>
  </si>
  <si>
    <t>É Fabricante *</t>
  </si>
  <si>
    <t>Serviço proveniente do exterior *</t>
  </si>
  <si>
    <t>Possui regime especial *</t>
  </si>
  <si>
    <t>Há decisão judicial *</t>
  </si>
  <si>
    <t>É Entidade Governamental *</t>
  </si>
  <si>
    <t>Fornece mão-de-obra *</t>
  </si>
  <si>
    <t>Enquadra Inciso lei complementar *</t>
  </si>
  <si>
    <t>Tem Alvará municipal *</t>
  </si>
  <si>
    <t>Tem Licença operação específica *</t>
  </si>
  <si>
    <t>Tem Autorização ANVISA *</t>
  </si>
  <si>
    <t>Tem Autorização especial ANVISA *</t>
  </si>
  <si>
    <t>Possui Responsabilidade Ténica Inscrição Orgão *</t>
  </si>
  <si>
    <t>Possui Licença produto perigoso - Policia Civil *</t>
  </si>
  <si>
    <t>Possui Licença produto perigoso - Policia Federal *</t>
  </si>
  <si>
    <t>Possui Licença produto perigoso - Exército *</t>
  </si>
  <si>
    <t>Possui Informação de segurança para Produto Químico *</t>
  </si>
  <si>
    <t>Possui Contrato Social ata *</t>
  </si>
  <si>
    <t>Possui Comprovante de recolhimento GPS *</t>
  </si>
  <si>
    <t>Tem Funcionário fixo ASO *</t>
  </si>
  <si>
    <t>Tem Funcionário fixo PPRA *</t>
  </si>
  <si>
    <t>Tem Funcionário fixo PCMSO *</t>
  </si>
  <si>
    <t>Possui Sistema Gestão Ambiental *</t>
  </si>
  <si>
    <t>Possui Certificação OHSAS 18001 *</t>
  </si>
  <si>
    <t>Possui Política de sustentabilidade *</t>
  </si>
  <si>
    <t>Laboratório Parceiro possui Certificação ISO9000 *</t>
  </si>
  <si>
    <t>Laboratório Parceiro possui Registro Orgão Competente *</t>
  </si>
  <si>
    <t>Laboratório Parceiro possui Local Armazenamento Produto *</t>
  </si>
  <si>
    <t>Laboratório Parceiro possui Permissão verificação da instalação *</t>
  </si>
  <si>
    <t>Laboratório Parceiro possui Serviço realizado p/determinação do contratante *</t>
  </si>
  <si>
    <t>Laboratório Parceiro possui Licença de funcionamento Vigilância Sanitária *</t>
  </si>
  <si>
    <t>Laboratório Parceiro possui Alvará localização de funcionamento *</t>
  </si>
  <si>
    <t>Laboratório Parceiro possui Registro CRF *</t>
  </si>
  <si>
    <t>1000  DASA</t>
  </si>
  <si>
    <t>1001  Cerpe</t>
  </si>
  <si>
    <t>1002  Previlab</t>
  </si>
  <si>
    <t>1003  Petropolis</t>
  </si>
  <si>
    <t>1004  Cientificalab</t>
  </si>
  <si>
    <t>1005  DASA RE</t>
  </si>
  <si>
    <t>1006 Antonio P. Gaspar</t>
  </si>
  <si>
    <t>1007 Laboratório Gilson Cidrim</t>
  </si>
  <si>
    <t>1009 Laboratório Oswaldo Cruz</t>
  </si>
  <si>
    <t>1011 LEME - Lab de Encr. e Metob.</t>
  </si>
  <si>
    <t>Cadastro Fornecedor</t>
  </si>
  <si>
    <t>Cadastro Fornecedor PF</t>
  </si>
  <si>
    <t>País</t>
  </si>
  <si>
    <t>País 2</t>
  </si>
  <si>
    <t xml:space="preserve">Tipo de documento * </t>
  </si>
  <si>
    <t>Dados Gerais - PJ</t>
  </si>
  <si>
    <t>Dados Fiscais - PJ</t>
  </si>
  <si>
    <t>508 - Brasil</t>
  </si>
  <si>
    <t>Daniel Kafruni de Oliveira EPP</t>
  </si>
  <si>
    <t>Elofy Sistemas</t>
  </si>
  <si>
    <t>Avenida Princesa Isabel</t>
  </si>
  <si>
    <t>Sexto</t>
  </si>
  <si>
    <t>Santana</t>
  </si>
  <si>
    <t>Porto Alegre</t>
  </si>
  <si>
    <t>51 30720087</t>
  </si>
  <si>
    <t>51 996990602</t>
  </si>
  <si>
    <t>daniel@elofy.com.br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</si>
</sst>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21" x14ac:knownFonts="1">
    <font>
      <sz val="11"/>
      <color theme="1"/>
      <name val="Calibri"/>
      <family val="2"/>
      <scheme val="minor"/>
    </font>
    <font>
      <b/>
      <sz val="9"/>
      <name val="Verdana"/>
      <family val="2"/>
    </font>
    <font>
      <b/>
      <i/>
      <sz val="9"/>
      <name val="Verdana"/>
      <family val="2"/>
    </font>
    <font>
      <sz val="9"/>
      <name val="Verdana"/>
      <family val="2"/>
    </font>
    <font>
      <b/>
      <sz val="9"/>
      <color indexed="81"/>
      <name val="Segoe UI"/>
      <family val="2"/>
    </font>
    <font>
      <b/>
      <sz val="10"/>
      <name val="Arial"/>
      <family val="2"/>
    </font>
    <font>
      <sz val="10"/>
      <name val="Arial"/>
      <family val="2"/>
    </font>
    <font>
      <sz val="9"/>
      <color indexed="81"/>
      <name val="Segoe UI"/>
      <family val="2"/>
    </font>
    <font>
      <sz val="9"/>
      <color theme="0" tint="-0.499984740745262"/>
      <name val="Verdana"/>
      <family val="2"/>
    </font>
    <font>
      <sz val="9"/>
      <name val="Arial"/>
      <family val="2"/>
    </font>
    <font>
      <sz val="9"/>
      <color theme="0" tint="-0.499984740745262"/>
      <name val="Arial"/>
      <family val="2"/>
    </font>
    <font>
      <b/>
      <sz val="9"/>
      <name val="Arial"/>
      <family val="2"/>
    </font>
    <font>
      <b/>
      <i/>
      <sz val="16"/>
      <name val="Verdana"/>
      <family val="2"/>
    </font>
    <font>
      <sz val="9"/>
      <color rgb="FFFF0000"/>
      <name val="Verdana"/>
      <family val="2"/>
    </font>
    <font>
      <b/>
      <u/>
      <sz val="9"/>
      <color indexed="81"/>
      <name val="Segoe UI"/>
      <family val="2"/>
    </font>
    <font>
      <sz val="9"/>
      <color theme="0" tint="-0.14999847407452621"/>
      <name val="Verdana"/>
      <family val="2"/>
    </font>
    <font>
      <sz val="7"/>
      <color rgb="FF6A6A6A"/>
      <name val="Arial"/>
      <family val="2"/>
    </font>
    <font>
      <b/>
      <sz val="11"/>
      <color rgb="FFC00000"/>
      <name val="Verdana"/>
      <family val="2"/>
    </font>
    <font>
      <b/>
      <sz val="11"/>
      <name val="Verdana"/>
      <family val="2"/>
    </font>
    <font>
      <u/>
      <sz val="11"/>
      <color theme="1"/>
      <name val="Calibri"/>
      <family val="2"/>
      <scheme val="minor"/>
    </font>
    <font>
      <u/>
      <sz val="11"/>
      <color theme="10"/>
      <name val="Calibri"/>
      <family val="2"/>
      <scheme val="minor"/>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rgb="FFFFFF99"/>
        <bgColor indexed="64"/>
      </patternFill>
    </fill>
  </fills>
  <borders count="24">
    <border>
      <left/>
      <right/>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ck">
        <color theme="0" tint="-0.34998626667073579"/>
      </left>
      <right/>
      <top/>
      <bottom/>
      <diagonal/>
    </border>
  </borders>
  <cellStyleXfs count="2">
    <xf numFmtId="0" fontId="0" fillId="0" borderId="0"/>
    <xf numFmtId="0" fontId="20" fillId="0" borderId="0" applyNumberFormat="0" applyFill="0" applyBorder="0" applyAlignment="0" applyProtection="0"/>
  </cellStyleXfs>
  <cellXfs count="110">
    <xf numFmtId="0" fontId="0" fillId="0" borderId="0" xfId="0"/>
    <xf numFmtId="0" fontId="1" fillId="4" borderId="2" xfId="0" applyFont="1" applyFill="1" applyBorder="1" applyAlignment="1">
      <alignment horizontal="center" vertical="center"/>
    </xf>
    <xf numFmtId="0" fontId="1" fillId="4" borderId="2" xfId="0" applyFont="1" applyFill="1" applyBorder="1" applyAlignment="1">
      <alignment horizontal="center" vertical="center" wrapText="1"/>
    </xf>
    <xf numFmtId="49" fontId="1" fillId="4" borderId="2" xfId="0" applyNumberFormat="1" applyFont="1" applyFill="1" applyBorder="1" applyAlignment="1">
      <alignment horizontal="center" vertical="center" wrapText="1"/>
    </xf>
    <xf numFmtId="0" fontId="1" fillId="4" borderId="6" xfId="0" applyFont="1" applyFill="1" applyBorder="1" applyAlignment="1">
      <alignment horizontal="center" vertical="center" wrapText="1"/>
    </xf>
    <xf numFmtId="0" fontId="3" fillId="0" borderId="0" xfId="0" applyFont="1"/>
    <xf numFmtId="0" fontId="3" fillId="0" borderId="0" xfId="0" applyFont="1" applyAlignment="1">
      <alignment wrapText="1"/>
    </xf>
    <xf numFmtId="49" fontId="0" fillId="0" borderId="0" xfId="0" applyNumberFormat="1" applyAlignment="1">
      <alignment horizontal="center" vertical="center"/>
    </xf>
    <xf numFmtId="49" fontId="0" fillId="0" borderId="0" xfId="0" applyNumberFormat="1"/>
    <xf numFmtId="0" fontId="3" fillId="0" borderId="0" xfId="0" applyFont="1" applyAlignment="1">
      <alignment horizontal="left" vertical="top" wrapText="1"/>
    </xf>
    <xf numFmtId="0" fontId="0" fillId="0" borderId="0" xfId="0" applyAlignment="1">
      <alignment wrapText="1"/>
    </xf>
    <xf numFmtId="0" fontId="3" fillId="0" borderId="0" xfId="0" applyFont="1" applyFill="1" applyBorder="1"/>
    <xf numFmtId="0" fontId="5" fillId="5" borderId="0" xfId="0" applyFont="1" applyFill="1"/>
    <xf numFmtId="0" fontId="5" fillId="0" borderId="0" xfId="0" applyFont="1"/>
    <xf numFmtId="164" fontId="0" fillId="0" borderId="0" xfId="0" applyNumberFormat="1" applyAlignment="1">
      <alignment horizontal="left"/>
    </xf>
    <xf numFmtId="0" fontId="0" fillId="0" borderId="0" xfId="0" applyAlignment="1">
      <alignment horizontal="left"/>
    </xf>
    <xf numFmtId="0" fontId="6" fillId="0" borderId="0" xfId="0" applyFont="1"/>
    <xf numFmtId="164" fontId="5" fillId="0" borderId="0" xfId="0" applyNumberFormat="1" applyFont="1" applyAlignment="1">
      <alignment horizontal="left"/>
    </xf>
    <xf numFmtId="0" fontId="5" fillId="0" borderId="0" xfId="0" applyFont="1" applyAlignment="1">
      <alignment horizontal="left"/>
    </xf>
    <xf numFmtId="0" fontId="1" fillId="4" borderId="13" xfId="0" applyFont="1" applyFill="1" applyBorder="1" applyAlignment="1">
      <alignment horizontal="center" vertical="center" wrapText="1"/>
    </xf>
    <xf numFmtId="0" fontId="1" fillId="4" borderId="10" xfId="0" applyFont="1" applyFill="1" applyBorder="1" applyAlignment="1">
      <alignment horizontal="center" vertical="center" wrapText="1"/>
    </xf>
    <xf numFmtId="0" fontId="0" fillId="0" borderId="2" xfId="0" applyBorder="1"/>
    <xf numFmtId="0" fontId="0" fillId="0" borderId="2" xfId="0" applyFill="1" applyBorder="1"/>
    <xf numFmtId="0" fontId="0" fillId="2" borderId="0" xfId="0" applyFill="1" applyProtection="1">
      <protection locked="0"/>
    </xf>
    <xf numFmtId="0" fontId="3" fillId="2" borderId="2" xfId="0" applyFont="1" applyFill="1" applyBorder="1" applyAlignment="1" applyProtection="1">
      <alignment vertical="center"/>
      <protection locked="0"/>
    </xf>
    <xf numFmtId="0" fontId="1" fillId="2" borderId="2" xfId="0" applyFont="1" applyFill="1" applyBorder="1" applyProtection="1">
      <protection locked="0"/>
    </xf>
    <xf numFmtId="0" fontId="3" fillId="2" borderId="3" xfId="0" applyFont="1" applyFill="1" applyBorder="1" applyAlignment="1" applyProtection="1">
      <alignment vertical="center"/>
      <protection locked="0"/>
    </xf>
    <xf numFmtId="0" fontId="3" fillId="0" borderId="2" xfId="0" applyFont="1" applyFill="1" applyBorder="1" applyAlignment="1" applyProtection="1">
      <alignment vertical="center"/>
      <protection locked="0"/>
    </xf>
    <xf numFmtId="0" fontId="3" fillId="0" borderId="2" xfId="0" applyFont="1" applyFill="1" applyBorder="1" applyAlignment="1" applyProtection="1">
      <protection locked="0"/>
    </xf>
    <xf numFmtId="0" fontId="3" fillId="0" borderId="2" xfId="0" applyFont="1" applyFill="1" applyBorder="1" applyAlignment="1" applyProtection="1">
      <alignment horizontal="left"/>
      <protection locked="0"/>
    </xf>
    <xf numFmtId="0" fontId="9" fillId="2" borderId="10" xfId="0" applyFont="1" applyFill="1" applyBorder="1" applyAlignment="1" applyProtection="1">
      <alignment horizontal="left" vertical="center"/>
      <protection locked="0"/>
    </xf>
    <xf numFmtId="0" fontId="11" fillId="2" borderId="6" xfId="0" applyFont="1" applyFill="1" applyBorder="1" applyAlignment="1" applyProtection="1">
      <alignment horizontal="center" vertical="center"/>
      <protection locked="0"/>
    </xf>
    <xf numFmtId="0" fontId="1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vertical="center"/>
      <protection locked="0"/>
    </xf>
    <xf numFmtId="0" fontId="1" fillId="2" borderId="10" xfId="0" applyFont="1" applyFill="1" applyBorder="1" applyAlignment="1" applyProtection="1">
      <alignment vertical="center"/>
      <protection locked="0"/>
    </xf>
    <xf numFmtId="0" fontId="1" fillId="2" borderId="10" xfId="0" applyFont="1" applyFill="1" applyBorder="1" applyProtection="1">
      <protection locked="0"/>
    </xf>
    <xf numFmtId="0" fontId="0" fillId="2" borderId="0" xfId="0" applyFill="1" applyProtection="1"/>
    <xf numFmtId="0" fontId="3" fillId="2" borderId="19" xfId="0" applyFont="1" applyFill="1" applyBorder="1" applyProtection="1">
      <protection locked="0"/>
    </xf>
    <xf numFmtId="0" fontId="3" fillId="2" borderId="6" xfId="0" applyFont="1" applyFill="1" applyBorder="1" applyAlignment="1" applyProtection="1">
      <alignment vertical="center"/>
      <protection locked="0"/>
    </xf>
    <xf numFmtId="0" fontId="1" fillId="2" borderId="5" xfId="0" applyFont="1" applyFill="1" applyBorder="1" applyProtection="1">
      <protection locked="0"/>
    </xf>
    <xf numFmtId="0" fontId="3" fillId="2" borderId="10" xfId="0" applyFont="1" applyFill="1" applyBorder="1" applyProtection="1">
      <protection locked="0"/>
    </xf>
    <xf numFmtId="0" fontId="1" fillId="2" borderId="1" xfId="0" applyFont="1" applyFill="1" applyBorder="1" applyProtection="1">
      <protection locked="0"/>
    </xf>
    <xf numFmtId="0" fontId="1" fillId="2" borderId="5" xfId="0" applyFont="1" applyFill="1" applyBorder="1" applyAlignment="1" applyProtection="1">
      <alignment vertical="center"/>
      <protection locked="0"/>
    </xf>
    <xf numFmtId="0" fontId="3" fillId="2" borderId="19" xfId="0" applyFont="1" applyFill="1" applyBorder="1" applyAlignment="1" applyProtection="1">
      <alignment horizontal="center" vertical="center"/>
    </xf>
    <xf numFmtId="0" fontId="3" fillId="0" borderId="10" xfId="0" applyFont="1" applyBorder="1" applyAlignment="1" applyProtection="1">
      <protection locked="0"/>
    </xf>
    <xf numFmtId="0" fontId="3" fillId="0" borderId="10" xfId="0" applyFont="1" applyBorder="1" applyAlignment="1" applyProtection="1">
      <alignment horizontal="center"/>
      <protection locked="0"/>
    </xf>
    <xf numFmtId="0" fontId="3" fillId="0" borderId="2" xfId="0" applyFont="1" applyBorder="1" applyAlignment="1" applyProtection="1">
      <protection locked="0"/>
    </xf>
    <xf numFmtId="0" fontId="3" fillId="0" borderId="2" xfId="0" applyFont="1" applyBorder="1" applyAlignment="1" applyProtection="1">
      <alignment horizontal="center"/>
      <protection locked="0"/>
    </xf>
    <xf numFmtId="0" fontId="3" fillId="0" borderId="2" xfId="0" applyFont="1" applyBorder="1" applyAlignment="1" applyProtection="1">
      <alignment horizontal="left"/>
      <protection locked="0"/>
    </xf>
    <xf numFmtId="0" fontId="3" fillId="2" borderId="0" xfId="0" applyFont="1" applyFill="1" applyProtection="1">
      <protection locked="0"/>
    </xf>
    <xf numFmtId="0" fontId="3" fillId="2" borderId="0" xfId="0" applyFont="1" applyFill="1" applyAlignment="1" applyProtection="1">
      <alignment horizontal="center" vertical="center"/>
      <protection locked="0"/>
    </xf>
    <xf numFmtId="0" fontId="3" fillId="2" borderId="11" xfId="0" applyFont="1" applyFill="1" applyBorder="1" applyAlignment="1" applyProtection="1">
      <alignment horizontal="left" vertical="center"/>
      <protection locked="0"/>
    </xf>
    <xf numFmtId="0" fontId="3" fillId="2" borderId="12" xfId="0" applyFont="1" applyFill="1" applyBorder="1" applyProtection="1">
      <protection locked="0"/>
    </xf>
    <xf numFmtId="0" fontId="3" fillId="2" borderId="16" xfId="0" applyFont="1" applyFill="1" applyBorder="1" applyAlignment="1" applyProtection="1">
      <alignment horizontal="left" vertical="center"/>
      <protection locked="0"/>
    </xf>
    <xf numFmtId="0" fontId="3" fillId="2" borderId="20" xfId="0" applyFont="1" applyFill="1" applyBorder="1" applyProtection="1">
      <protection locked="0"/>
    </xf>
    <xf numFmtId="0" fontId="3" fillId="2" borderId="15" xfId="0" applyFont="1" applyFill="1" applyBorder="1" applyAlignment="1" applyProtection="1">
      <alignment horizontal="left" vertical="center"/>
      <protection locked="0"/>
    </xf>
    <xf numFmtId="0" fontId="3" fillId="2" borderId="21" xfId="0" applyFont="1" applyFill="1" applyBorder="1" applyProtection="1">
      <protection locked="0"/>
    </xf>
    <xf numFmtId="0" fontId="3" fillId="2" borderId="14" xfId="0" applyFont="1" applyFill="1" applyBorder="1" applyAlignment="1" applyProtection="1">
      <alignment horizontal="left" vertical="center"/>
      <protection locked="0"/>
    </xf>
    <xf numFmtId="0" fontId="3" fillId="2" borderId="22" xfId="0" applyFont="1" applyFill="1" applyBorder="1" applyProtection="1">
      <protection locked="0"/>
    </xf>
    <xf numFmtId="0" fontId="3" fillId="2" borderId="17" xfId="0" applyFont="1" applyFill="1" applyBorder="1" applyAlignment="1" applyProtection="1">
      <alignment horizontal="left" vertical="center"/>
      <protection locked="0"/>
    </xf>
    <xf numFmtId="0" fontId="3" fillId="2" borderId="18" xfId="0" applyFont="1" applyFill="1" applyBorder="1" applyProtection="1">
      <protection locked="0"/>
    </xf>
    <xf numFmtId="0" fontId="3" fillId="2" borderId="22" xfId="0" applyFont="1" applyFill="1" applyBorder="1" applyAlignment="1" applyProtection="1">
      <alignment vertical="center"/>
      <protection locked="0"/>
    </xf>
    <xf numFmtId="0" fontId="15" fillId="6" borderId="14" xfId="0" applyFont="1" applyFill="1" applyBorder="1" applyAlignment="1" applyProtection="1">
      <alignment horizontal="left" vertical="center"/>
      <protection locked="0"/>
    </xf>
    <xf numFmtId="0" fontId="15" fillId="6" borderId="22" xfId="0" applyFont="1" applyFill="1" applyBorder="1" applyAlignment="1" applyProtection="1">
      <alignment vertical="center"/>
      <protection locked="0"/>
    </xf>
    <xf numFmtId="0" fontId="16" fillId="0" borderId="0" xfId="0" applyFont="1"/>
    <xf numFmtId="0" fontId="12" fillId="2" borderId="0" xfId="0" applyFont="1" applyFill="1" applyAlignment="1" applyProtection="1">
      <alignment horizontal="left" indent="1"/>
    </xf>
    <xf numFmtId="0" fontId="12" fillId="2" borderId="0" xfId="0" applyFont="1" applyFill="1" applyAlignment="1" applyProtection="1"/>
    <xf numFmtId="0" fontId="3" fillId="2" borderId="0" xfId="0" applyFont="1" applyFill="1" applyAlignment="1" applyProtection="1">
      <alignment horizontal="left" indent="1"/>
    </xf>
    <xf numFmtId="0" fontId="13" fillId="2" borderId="0" xfId="0" applyFont="1" applyFill="1" applyProtection="1"/>
    <xf numFmtId="0" fontId="17" fillId="2" borderId="23" xfId="0" applyFont="1" applyFill="1" applyBorder="1" applyAlignment="1" applyProtection="1">
      <alignment vertical="center"/>
    </xf>
    <xf numFmtId="0" fontId="3" fillId="2" borderId="0" xfId="0" applyFont="1" applyFill="1" applyProtection="1"/>
    <xf numFmtId="0" fontId="18" fillId="2" borderId="23" xfId="0" applyFont="1" applyFill="1" applyBorder="1" applyProtection="1"/>
    <xf numFmtId="0" fontId="18" fillId="2" borderId="0" xfId="0" applyFont="1" applyFill="1" applyBorder="1" applyProtection="1"/>
    <xf numFmtId="0" fontId="3" fillId="2" borderId="0" xfId="0" applyFont="1" applyFill="1" applyBorder="1" applyProtection="1"/>
    <xf numFmtId="0" fontId="0" fillId="2" borderId="0" xfId="0" applyFill="1" applyBorder="1" applyProtection="1"/>
    <xf numFmtId="0" fontId="3" fillId="2" borderId="0" xfId="0" applyFont="1" applyFill="1" applyAlignment="1" applyProtection="1">
      <alignment horizontal="center"/>
    </xf>
    <xf numFmtId="0" fontId="1" fillId="0" borderId="0" xfId="0" applyFont="1"/>
    <xf numFmtId="0" fontId="1" fillId="0" borderId="0" xfId="0" applyFont="1" applyFill="1" applyBorder="1"/>
    <xf numFmtId="0" fontId="3" fillId="2" borderId="0" xfId="0" applyFont="1" applyFill="1" applyBorder="1" applyAlignment="1" applyProtection="1">
      <alignment vertical="center"/>
      <protection locked="0"/>
    </xf>
    <xf numFmtId="0" fontId="0" fillId="2" borderId="0" xfId="0" applyFill="1" applyBorder="1" applyProtection="1">
      <protection locked="0"/>
    </xf>
    <xf numFmtId="0" fontId="3" fillId="6" borderId="2" xfId="0" applyFont="1" applyFill="1" applyBorder="1" applyAlignment="1" applyProtection="1">
      <protection locked="0"/>
    </xf>
    <xf numFmtId="0" fontId="3" fillId="6" borderId="2" xfId="0" applyFont="1" applyFill="1" applyBorder="1" applyAlignment="1" applyProtection="1">
      <alignment vertical="center"/>
      <protection locked="0"/>
    </xf>
    <xf numFmtId="0" fontId="3" fillId="0" borderId="0" xfId="0" applyFont="1" applyFill="1" applyBorder="1" applyAlignment="1" applyProtection="1">
      <alignment horizontal="left"/>
      <protection locked="0"/>
    </xf>
    <xf numFmtId="0" fontId="19" fillId="0" borderId="0" xfId="0" applyFont="1" applyAlignment="1">
      <alignment vertical="center"/>
    </xf>
    <xf numFmtId="0" fontId="3" fillId="6" borderId="14" xfId="0" applyFont="1" applyFill="1" applyBorder="1" applyAlignment="1" applyProtection="1">
      <alignment horizontal="left" vertical="center"/>
      <protection locked="0"/>
    </xf>
    <xf numFmtId="0" fontId="3" fillId="6" borderId="22" xfId="0" applyFont="1" applyFill="1" applyBorder="1" applyProtection="1">
      <protection locked="0"/>
    </xf>
    <xf numFmtId="0" fontId="3" fillId="6" borderId="2" xfId="0" quotePrefix="1" applyFont="1" applyFill="1" applyBorder="1" applyAlignment="1" applyProtection="1">
      <protection locked="0"/>
    </xf>
    <xf numFmtId="0" fontId="0" fillId="6" borderId="2" xfId="0" applyFill="1" applyBorder="1" applyProtection="1">
      <protection locked="0"/>
    </xf>
    <xf numFmtId="0" fontId="3" fillId="6" borderId="2" xfId="0" applyFont="1" applyFill="1" applyBorder="1" applyAlignment="1" applyProtection="1">
      <alignment horizontal="left"/>
      <protection locked="0"/>
    </xf>
    <xf numFmtId="0" fontId="3" fillId="8" borderId="21" xfId="0" applyFont="1" applyFill="1" applyBorder="1" applyProtection="1">
      <protection locked="0"/>
    </xf>
    <xf numFmtId="0" fontId="3" fillId="8" borderId="20" xfId="0" applyFont="1" applyFill="1" applyBorder="1" applyProtection="1">
      <protection locked="0"/>
    </xf>
    <xf numFmtId="0" fontId="3" fillId="8" borderId="22" xfId="0" applyFont="1" applyFill="1" applyBorder="1" applyProtection="1">
      <protection locked="0"/>
    </xf>
    <xf numFmtId="0" fontId="3" fillId="8" borderId="22" xfId="0" applyFont="1" applyFill="1" applyBorder="1" applyAlignment="1" applyProtection="1">
      <alignment vertical="center"/>
      <protection locked="0"/>
    </xf>
    <xf numFmtId="0" fontId="3" fillId="8" borderId="2" xfId="0" applyFont="1" applyFill="1" applyBorder="1" applyProtection="1">
      <protection locked="0"/>
    </xf>
    <xf numFmtId="0" fontId="1" fillId="8" borderId="2" xfId="0" applyFont="1" applyFill="1" applyBorder="1" applyProtection="1">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2" fillId="3" borderId="11" xfId="0" applyFont="1" applyFill="1" applyBorder="1" applyAlignment="1" applyProtection="1">
      <alignment horizontal="center" vertical="center"/>
      <protection locked="0"/>
    </xf>
    <xf numFmtId="0" fontId="2" fillId="3" borderId="12" xfId="0" applyFont="1" applyFill="1" applyBorder="1" applyAlignment="1" applyProtection="1">
      <alignment horizontal="center" vertical="center"/>
      <protection locked="0"/>
    </xf>
    <xf numFmtId="0" fontId="1" fillId="7" borderId="3" xfId="0" applyFont="1" applyFill="1" applyBorder="1" applyAlignment="1" applyProtection="1">
      <alignment horizontal="center" vertical="center"/>
      <protection locked="0"/>
    </xf>
    <xf numFmtId="0" fontId="1" fillId="7" borderId="4" xfId="0" applyFont="1" applyFill="1" applyBorder="1" applyAlignment="1" applyProtection="1">
      <alignment horizontal="center" vertical="center"/>
      <protection locked="0"/>
    </xf>
    <xf numFmtId="0" fontId="1" fillId="7" borderId="3" xfId="0" applyFont="1" applyFill="1" applyBorder="1" applyAlignment="1" applyProtection="1">
      <alignment horizontal="center" vertical="center" wrapText="1"/>
      <protection locked="0"/>
    </xf>
    <xf numFmtId="0" fontId="1" fillId="7" borderId="4" xfId="0" applyFont="1" applyFill="1" applyBorder="1" applyAlignment="1" applyProtection="1">
      <alignment horizontal="center" vertical="center" wrapText="1"/>
      <protection locked="0"/>
    </xf>
    <xf numFmtId="0" fontId="1" fillId="4" borderId="6"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1" fillId="4" borderId="8" xfId="0" applyFont="1" applyFill="1" applyBorder="1" applyAlignment="1">
      <alignment horizontal="center" vertical="center" wrapText="1"/>
    </xf>
    <xf numFmtId="0" fontId="3" fillId="0" borderId="0" xfId="0" applyFont="1" applyAlignment="1">
      <alignment horizontal="left"/>
    </xf>
    <xf numFmtId="0" fontId="3" fillId="8" borderId="22" xfId="0" applyFont="1" applyFill="1" applyBorder="1" applyAlignment="1" applyProtection="1">
      <alignment horizontal="left"/>
      <protection locked="0"/>
    </xf>
    <xf numFmtId="0" fontId="3" fillId="2" borderId="22" xfId="0" applyFont="1" applyFill="1" applyBorder="1" applyAlignment="1" applyProtection="1">
      <alignment horizontal="left"/>
      <protection locked="0"/>
    </xf>
    <xf numFmtId="0" fontId="20" fillId="8" borderId="22" xfId="1" applyFill="1" applyBorder="1" applyProtection="1">
      <protection locked="0"/>
    </xf>
  </cellXfs>
  <cellStyles count="2">
    <cellStyle name="Hi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30480</xdr:colOff>
      <xdr:row>6</xdr:row>
      <xdr:rowOff>30480</xdr:rowOff>
    </xdr:from>
    <xdr:to>
      <xdr:col>1</xdr:col>
      <xdr:colOff>214450</xdr:colOff>
      <xdr:row>6</xdr:row>
      <xdr:rowOff>228600</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297180" y="1143000"/>
          <a:ext cx="183970" cy="198120"/>
        </a:xfrm>
        <a:prstGeom prst="rect">
          <a:avLst/>
        </a:prstGeom>
      </xdr:spPr>
    </xdr:pic>
    <xdr:clientData/>
  </xdr:twoCellAnchor>
  <xdr:twoCellAnchor editAs="oneCell">
    <xdr:from>
      <xdr:col>1</xdr:col>
      <xdr:colOff>30480</xdr:colOff>
      <xdr:row>7</xdr:row>
      <xdr:rowOff>0</xdr:rowOff>
    </xdr:from>
    <xdr:to>
      <xdr:col>1</xdr:col>
      <xdr:colOff>214450</xdr:colOff>
      <xdr:row>7</xdr:row>
      <xdr:rowOff>198120</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297180" y="1402080"/>
          <a:ext cx="183970" cy="198120"/>
        </a:xfrm>
        <a:prstGeom prst="rect">
          <a:avLst/>
        </a:prstGeom>
      </xdr:spPr>
    </xdr:pic>
    <xdr:clientData/>
  </xdr:twoCellAnchor>
  <xdr:twoCellAnchor editAs="oneCell">
    <xdr:from>
      <xdr:col>1</xdr:col>
      <xdr:colOff>30480</xdr:colOff>
      <xdr:row>7</xdr:row>
      <xdr:rowOff>22860</xdr:rowOff>
    </xdr:from>
    <xdr:to>
      <xdr:col>1</xdr:col>
      <xdr:colOff>214450</xdr:colOff>
      <xdr:row>7</xdr:row>
      <xdr:rowOff>220980</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297180" y="1668780"/>
          <a:ext cx="183970" cy="198120"/>
        </a:xfrm>
        <a:prstGeom prst="rect">
          <a:avLst/>
        </a:prstGeom>
      </xdr:spPr>
    </xdr:pic>
    <xdr:clientData/>
  </xdr:twoCellAnchor>
  <xdr:twoCellAnchor editAs="oneCell">
    <xdr:from>
      <xdr:col>1</xdr:col>
      <xdr:colOff>53340</xdr:colOff>
      <xdr:row>1</xdr:row>
      <xdr:rowOff>0</xdr:rowOff>
    </xdr:from>
    <xdr:to>
      <xdr:col>3</xdr:col>
      <xdr:colOff>160020</xdr:colOff>
      <xdr:row>1</xdr:row>
      <xdr:rowOff>251429</xdr:rowOff>
    </xdr:to>
    <xdr:pic>
      <xdr:nvPicPr>
        <xdr:cNvPr id="6" name="Imagem 5" descr="http://dasa.com.br/images/logo_dasa.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040" y="144780"/>
          <a:ext cx="1264920" cy="2514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463336</xdr:colOff>
      <xdr:row>1</xdr:row>
      <xdr:rowOff>286289</xdr:rowOff>
    </xdr:to>
    <xdr:pic macro="[0]!Voltar">
      <xdr:nvPicPr>
        <xdr:cNvPr id="18" name="Imagem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9639300" y="83820"/>
          <a:ext cx="463336" cy="2862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463336</xdr:colOff>
      <xdr:row>1</xdr:row>
      <xdr:rowOff>286289</xdr:rowOff>
    </xdr:to>
    <xdr:pic macro="[0]!Voltar">
      <xdr:nvPicPr>
        <xdr:cNvPr id="2" name="Imagem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395460" y="83820"/>
          <a:ext cx="463336" cy="2862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198120</xdr:colOff>
      <xdr:row>1</xdr:row>
      <xdr:rowOff>60960</xdr:rowOff>
    </xdr:from>
    <xdr:to>
      <xdr:col>4</xdr:col>
      <xdr:colOff>36616</xdr:colOff>
      <xdr:row>2</xdr:row>
      <xdr:rowOff>34829</xdr:rowOff>
    </xdr:to>
    <xdr:pic macro="[0]!Voltar">
      <xdr:nvPicPr>
        <xdr:cNvPr id="2" name="Imagem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437120" y="182880"/>
          <a:ext cx="463336" cy="28628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hirleyMidori/SAP/FORM_CADASTRO-ULTVERSAO_REVISADO/NOVA%20PLANILHA%20FORNECEDOR%20PJ%20E%20PF%2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nanceiro/Cadastro/20170104_CLIENTE_SAP_FormCad_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Manutenção de Cadastro"/>
      <sheetName val="SAP CADASTRO FORNECEDOR PJ"/>
      <sheetName val="SAP CADASTRO FORNECEDOR PF"/>
      <sheetName val="DadosGerais-Status"/>
      <sheetName val="Empresa-Correspondência"/>
      <sheetName val="Empresa-Sem título"/>
      <sheetName val="Compras-Funções do parceiro"/>
      <sheetName val="Compras-DadosComprasAdicionais"/>
      <sheetName val="Compras-Relações - Síntese"/>
      <sheetName val="Lista de Dados"/>
      <sheetName val="ListaBancoDígito"/>
      <sheetName val="Lista de Dados-Banco"/>
      <sheetName val="Dicionario Dados"/>
    </sheetNames>
    <sheetDataSet>
      <sheetData sheetId="0"/>
      <sheetData sheetId="1"/>
      <sheetData sheetId="2"/>
      <sheetData sheetId="3"/>
      <sheetData sheetId="4"/>
      <sheetData sheetId="5"/>
      <sheetData sheetId="6"/>
      <sheetData sheetId="7"/>
      <sheetData sheetId="8"/>
      <sheetData sheetId="9"/>
      <sheetData sheetId="10">
        <row r="2">
          <cell r="A2">
            <v>1</v>
          </cell>
          <cell r="B2">
            <v>9</v>
          </cell>
          <cell r="C2" t="str">
            <v>BANCO DO BRASIL S.A</v>
          </cell>
        </row>
        <row r="3">
          <cell r="A3">
            <v>3</v>
          </cell>
          <cell r="B3">
            <v>5</v>
          </cell>
          <cell r="C3" t="str">
            <v>BANCO DA AMAZÔNIA S.A</v>
          </cell>
        </row>
        <row r="4">
          <cell r="A4">
            <v>4</v>
          </cell>
          <cell r="B4">
            <v>3</v>
          </cell>
          <cell r="C4" t="str">
            <v>BANCO DO NORDESTE DO BRASIL S.A</v>
          </cell>
        </row>
        <row r="5">
          <cell r="A5">
            <v>10</v>
          </cell>
          <cell r="B5">
            <v>8</v>
          </cell>
          <cell r="C5" t="str">
            <v>CREDICOAMO CRÉDITO RURAL COOPERATIVA</v>
          </cell>
        </row>
        <row r="6">
          <cell r="A6">
            <v>17</v>
          </cell>
          <cell r="B6">
            <v>5</v>
          </cell>
          <cell r="C6" t="str">
            <v>BNY MELLON BANCO S.A.</v>
          </cell>
        </row>
        <row r="7">
          <cell r="A7">
            <v>19</v>
          </cell>
          <cell r="B7">
            <v>1</v>
          </cell>
          <cell r="C7" t="str">
            <v>BANCO AZTECA DO BRASIL S.A</v>
          </cell>
        </row>
        <row r="8">
          <cell r="A8">
            <v>21</v>
          </cell>
          <cell r="B8">
            <v>3</v>
          </cell>
          <cell r="C8" t="str">
            <v>BANESTES S.A. BANCO DO ESTADO DO ESPIRITO</v>
          </cell>
        </row>
        <row r="9">
          <cell r="A9">
            <v>25</v>
          </cell>
          <cell r="B9">
            <v>6</v>
          </cell>
          <cell r="C9" t="str">
            <v>BANCO ALFA S.A</v>
          </cell>
        </row>
        <row r="10">
          <cell r="A10">
            <v>33</v>
          </cell>
          <cell r="B10">
            <v>7</v>
          </cell>
          <cell r="C10" t="str">
            <v>BANCO SANTANDER S.A .</v>
          </cell>
        </row>
        <row r="11">
          <cell r="A11">
            <v>36</v>
          </cell>
          <cell r="B11">
            <v>1</v>
          </cell>
          <cell r="C11" t="str">
            <v xml:space="preserve">BANCO BRADESCO BBI S.A </v>
          </cell>
        </row>
        <row r="12">
          <cell r="A12">
            <v>37</v>
          </cell>
          <cell r="B12" t="str">
            <v>X</v>
          </cell>
          <cell r="C12" t="str">
            <v>BANCO DO ESTADO DO PARA S.A</v>
          </cell>
        </row>
        <row r="13">
          <cell r="A13">
            <v>40</v>
          </cell>
          <cell r="B13" t="str">
            <v>X</v>
          </cell>
          <cell r="C13" t="str">
            <v>BANCO CARGILL S.A.</v>
          </cell>
        </row>
        <row r="14">
          <cell r="A14">
            <v>41</v>
          </cell>
          <cell r="B14">
            <v>8</v>
          </cell>
          <cell r="C14" t="str">
            <v>BANCO DO ESTADO DO RIO GRANDE DO SUL S.A</v>
          </cell>
        </row>
        <row r="15">
          <cell r="A15">
            <v>47</v>
          </cell>
          <cell r="B15">
            <v>7</v>
          </cell>
          <cell r="C15" t="str">
            <v>BANCO DO ESTADO DE SERGIPE S.A</v>
          </cell>
        </row>
        <row r="16">
          <cell r="A16">
            <v>62</v>
          </cell>
          <cell r="B16">
            <v>0</v>
          </cell>
          <cell r="C16" t="str">
            <v>HIPERCARD BANCO MÚLTIPLO S.A</v>
          </cell>
        </row>
        <row r="17">
          <cell r="A17">
            <v>63</v>
          </cell>
          <cell r="B17">
            <v>9</v>
          </cell>
          <cell r="C17" t="str">
            <v>BANCO BRADESCARD S.A</v>
          </cell>
        </row>
        <row r="18">
          <cell r="A18">
            <v>65</v>
          </cell>
          <cell r="B18">
            <v>5</v>
          </cell>
          <cell r="C18" t="str">
            <v>BANCO BRACCE S/A</v>
          </cell>
        </row>
        <row r="19">
          <cell r="A19">
            <v>66</v>
          </cell>
          <cell r="B19">
            <v>3</v>
          </cell>
          <cell r="C19" t="str">
            <v>BANCO MORGAN STANLEY DEAN WITTER S.A</v>
          </cell>
        </row>
        <row r="20">
          <cell r="A20">
            <v>69</v>
          </cell>
          <cell r="B20">
            <v>8</v>
          </cell>
          <cell r="C20" t="str">
            <v>BPN BRASIL BANCO MÚLTIPLO S.A</v>
          </cell>
        </row>
        <row r="21">
          <cell r="A21">
            <v>70</v>
          </cell>
          <cell r="B21">
            <v>1</v>
          </cell>
          <cell r="C21" t="str">
            <v>BRB - BANCO DE BRASILIA S.A</v>
          </cell>
        </row>
        <row r="22">
          <cell r="A22">
            <v>74</v>
          </cell>
          <cell r="B22">
            <v>4</v>
          </cell>
          <cell r="C22" t="str">
            <v>BANCO J SAFRA S.A.</v>
          </cell>
        </row>
        <row r="23">
          <cell r="A23">
            <v>75</v>
          </cell>
          <cell r="B23">
            <v>2</v>
          </cell>
          <cell r="C23" t="str">
            <v>BANCO CR2 S.A</v>
          </cell>
        </row>
        <row r="24">
          <cell r="A24">
            <v>76</v>
          </cell>
          <cell r="B24">
            <v>0</v>
          </cell>
          <cell r="C24" t="str">
            <v>BANCO KDB DO BRASIL S.A</v>
          </cell>
        </row>
        <row r="25">
          <cell r="A25">
            <v>77</v>
          </cell>
          <cell r="B25">
            <v>9</v>
          </cell>
          <cell r="C25" t="str">
            <v>BANCO INTERMEDIUM S.A .</v>
          </cell>
        </row>
        <row r="26">
          <cell r="A26">
            <v>78</v>
          </cell>
          <cell r="B26">
            <v>7</v>
          </cell>
          <cell r="C26" t="str">
            <v>BES INVESTIMENTO DO BRASIL S.A . BANCO DE</v>
          </cell>
        </row>
        <row r="27">
          <cell r="A27">
            <v>79</v>
          </cell>
          <cell r="B27">
            <v>5</v>
          </cell>
          <cell r="C27" t="str">
            <v>BANCO ORIGINAL DO AGRONEGÓCIO S.A</v>
          </cell>
        </row>
        <row r="28">
          <cell r="A28">
            <v>81</v>
          </cell>
          <cell r="B28">
            <v>7</v>
          </cell>
          <cell r="C28" t="str">
            <v>BBN BANCO BRASILEIRO DE NEGÓCIOS</v>
          </cell>
        </row>
        <row r="29">
          <cell r="A29">
            <v>82</v>
          </cell>
          <cell r="B29">
            <v>5</v>
          </cell>
          <cell r="C29" t="str">
            <v>BANCO TOPÁZIO S. A.</v>
          </cell>
        </row>
        <row r="30">
          <cell r="A30">
            <v>83</v>
          </cell>
          <cell r="B30">
            <v>3</v>
          </cell>
          <cell r="C30" t="str">
            <v>BANCO DA CHINA BRASIL S. A</v>
          </cell>
        </row>
        <row r="31">
          <cell r="A31">
            <v>84</v>
          </cell>
          <cell r="B31">
            <v>1</v>
          </cell>
          <cell r="C31" t="str">
            <v>UNIPRIME NORTE DO PARANÁ</v>
          </cell>
        </row>
        <row r="32">
          <cell r="A32">
            <v>85</v>
          </cell>
          <cell r="B32" t="str">
            <v>X</v>
          </cell>
          <cell r="C32" t="str">
            <v>COOP CENTRAL DE CRED URBANO</v>
          </cell>
        </row>
        <row r="33">
          <cell r="A33">
            <v>86</v>
          </cell>
          <cell r="B33">
            <v>8</v>
          </cell>
          <cell r="C33" t="str">
            <v>SCFI OBOE</v>
          </cell>
        </row>
        <row r="34">
          <cell r="A34">
            <v>87</v>
          </cell>
          <cell r="B34">
            <v>6</v>
          </cell>
          <cell r="C34" t="str">
            <v>UNICRED CENTRAL SANTA CATARINA</v>
          </cell>
        </row>
        <row r="35">
          <cell r="A35">
            <v>88</v>
          </cell>
          <cell r="B35">
            <v>4</v>
          </cell>
          <cell r="C35" t="str">
            <v>BANCO RANDON S.A</v>
          </cell>
        </row>
        <row r="36">
          <cell r="A36">
            <v>89</v>
          </cell>
          <cell r="B36">
            <v>2</v>
          </cell>
          <cell r="C36" t="str">
            <v>CC REGIÃO DA MOGIANA</v>
          </cell>
        </row>
        <row r="37">
          <cell r="A37">
            <v>90</v>
          </cell>
          <cell r="B37">
            <v>6</v>
          </cell>
          <cell r="C37" t="str">
            <v>UNICRED CENTRAL SP</v>
          </cell>
        </row>
        <row r="38">
          <cell r="A38">
            <v>91</v>
          </cell>
          <cell r="B38">
            <v>4</v>
          </cell>
          <cell r="C38" t="str">
            <v>UNICRED CENTRAL RS</v>
          </cell>
        </row>
        <row r="39">
          <cell r="A39">
            <v>92</v>
          </cell>
          <cell r="B39">
            <v>2</v>
          </cell>
          <cell r="C39" t="str">
            <v>BRICKELL S.A. CRÉDITO, FINANCIAMENTO E</v>
          </cell>
        </row>
        <row r="40">
          <cell r="A40">
            <v>94</v>
          </cell>
          <cell r="B40">
            <v>9</v>
          </cell>
          <cell r="C40" t="str">
            <v>BANCO PETRA S.A</v>
          </cell>
        </row>
        <row r="41">
          <cell r="A41">
            <v>96</v>
          </cell>
          <cell r="B41">
            <v>5</v>
          </cell>
          <cell r="C41" t="str">
            <v>BANCO BM&amp;F DE SERVIÇOS DE LIQUIDAÇÃO E</v>
          </cell>
        </row>
        <row r="42">
          <cell r="A42">
            <v>97</v>
          </cell>
          <cell r="B42">
            <v>3</v>
          </cell>
          <cell r="C42" t="str">
            <v>COOP. CENTRAL DE CRÉDITO NOROESTE</v>
          </cell>
        </row>
        <row r="43">
          <cell r="A43">
            <v>98</v>
          </cell>
          <cell r="B43">
            <v>1</v>
          </cell>
          <cell r="C43" t="str">
            <v>CREDIALIANÇA COOPERTIVA DE CREDITO RURAL</v>
          </cell>
        </row>
        <row r="44">
          <cell r="A44">
            <v>99</v>
          </cell>
          <cell r="B44" t="str">
            <v>X</v>
          </cell>
          <cell r="C44" t="str">
            <v>CENTRAL INTERESTADUAL DE COOPERATIVAS DE</v>
          </cell>
        </row>
        <row r="45">
          <cell r="A45">
            <v>104</v>
          </cell>
          <cell r="B45" t="str">
            <v>X</v>
          </cell>
          <cell r="C45" t="str">
            <v>CAIXA ECONOMICA FEDERAL</v>
          </cell>
        </row>
        <row r="46">
          <cell r="A46">
            <v>107</v>
          </cell>
          <cell r="B46">
            <v>4</v>
          </cell>
          <cell r="C46" t="str">
            <v>BANCO BBM S.A</v>
          </cell>
        </row>
        <row r="47">
          <cell r="A47">
            <v>112</v>
          </cell>
          <cell r="B47">
            <v>0</v>
          </cell>
          <cell r="C47" t="str">
            <v>UNICRED BRASIL CENTRAL</v>
          </cell>
        </row>
        <row r="48">
          <cell r="A48">
            <v>114</v>
          </cell>
          <cell r="B48">
            <v>7</v>
          </cell>
          <cell r="C48" t="str">
            <v>CECOOPES-CENTRAL DAS COOP DE ECONOMIA E</v>
          </cell>
        </row>
        <row r="49">
          <cell r="A49">
            <v>119</v>
          </cell>
          <cell r="B49">
            <v>8</v>
          </cell>
          <cell r="C49" t="str">
            <v>BANCO WESTERN UNION DO BRASIL S/A</v>
          </cell>
        </row>
        <row r="50">
          <cell r="A50">
            <v>120</v>
          </cell>
          <cell r="B50">
            <v>1</v>
          </cell>
          <cell r="C50" t="str">
            <v>BANCO RODOBENS S.A</v>
          </cell>
        </row>
        <row r="51">
          <cell r="A51">
            <v>121</v>
          </cell>
          <cell r="B51" t="str">
            <v>X</v>
          </cell>
          <cell r="C51" t="str">
            <v>BANCO GERADOR S.A</v>
          </cell>
        </row>
        <row r="52">
          <cell r="A52">
            <v>122</v>
          </cell>
          <cell r="B52">
            <v>8</v>
          </cell>
          <cell r="C52" t="str">
            <v>BANCO BERJ S/A</v>
          </cell>
        </row>
        <row r="53">
          <cell r="A53">
            <v>124</v>
          </cell>
          <cell r="B53">
            <v>4</v>
          </cell>
          <cell r="C53" t="str">
            <v>BANCO WOORI BANK DO BRASIL S.A</v>
          </cell>
        </row>
        <row r="54">
          <cell r="A54">
            <v>125</v>
          </cell>
          <cell r="B54">
            <v>2</v>
          </cell>
          <cell r="C54" t="str">
            <v>BRASIL PLURAL S.A. BANCO MÚLTIPLO</v>
          </cell>
        </row>
        <row r="55">
          <cell r="A55">
            <v>184</v>
          </cell>
          <cell r="B55">
            <v>8</v>
          </cell>
          <cell r="C55" t="str">
            <v xml:space="preserve">BANCO ITAU BBA S.A </v>
          </cell>
        </row>
        <row r="56">
          <cell r="A56">
            <v>204</v>
          </cell>
          <cell r="B56">
            <v>6</v>
          </cell>
          <cell r="C56" t="str">
            <v>BANCO BRADESCO CARTÕES S.A .</v>
          </cell>
        </row>
        <row r="57">
          <cell r="A57">
            <v>208</v>
          </cell>
          <cell r="B57">
            <v>9</v>
          </cell>
          <cell r="C57" t="str">
            <v>BANCO BTG PACTUAL S.A</v>
          </cell>
        </row>
        <row r="58">
          <cell r="A58">
            <v>212</v>
          </cell>
          <cell r="B58">
            <v>7</v>
          </cell>
          <cell r="C58" t="str">
            <v>BANCO ORIGINAL S.A</v>
          </cell>
        </row>
        <row r="59">
          <cell r="A59">
            <v>213</v>
          </cell>
          <cell r="B59">
            <v>5</v>
          </cell>
          <cell r="C59" t="str">
            <v>BANCO ARBI S.A</v>
          </cell>
        </row>
        <row r="60">
          <cell r="A60">
            <v>214</v>
          </cell>
          <cell r="B60">
            <v>3</v>
          </cell>
          <cell r="C60" t="str">
            <v>BANCO DIBENS S.A</v>
          </cell>
        </row>
        <row r="61">
          <cell r="A61">
            <v>217</v>
          </cell>
          <cell r="B61">
            <v>8</v>
          </cell>
          <cell r="C61" t="str">
            <v>BANCO JOHN DEERE S.A.</v>
          </cell>
        </row>
        <row r="62">
          <cell r="A62">
            <v>218</v>
          </cell>
          <cell r="B62">
            <v>6</v>
          </cell>
          <cell r="C62" t="str">
            <v>BANCO BONSUCESSO S.A</v>
          </cell>
        </row>
        <row r="63">
          <cell r="A63">
            <v>222</v>
          </cell>
          <cell r="B63">
            <v>4</v>
          </cell>
          <cell r="C63" t="str">
            <v>BANCO CREDIT AGRICOLE BRASIL S.ª</v>
          </cell>
        </row>
        <row r="64">
          <cell r="A64">
            <v>224</v>
          </cell>
          <cell r="B64">
            <v>0</v>
          </cell>
          <cell r="C64" t="str">
            <v>BANCO FIBRA S.A</v>
          </cell>
        </row>
        <row r="65">
          <cell r="A65">
            <v>233</v>
          </cell>
          <cell r="B65" t="str">
            <v>X</v>
          </cell>
          <cell r="C65" t="str">
            <v>BANCO CIFRA S.A</v>
          </cell>
        </row>
        <row r="66">
          <cell r="A66">
            <v>237</v>
          </cell>
          <cell r="B66">
            <v>2</v>
          </cell>
          <cell r="C66" t="str">
            <v>BANCO BRADESCO S.A</v>
          </cell>
        </row>
        <row r="67">
          <cell r="A67">
            <v>241</v>
          </cell>
          <cell r="B67">
            <v>0</v>
          </cell>
          <cell r="C67" t="str">
            <v>BANCO CLASSICO S.A</v>
          </cell>
        </row>
        <row r="68">
          <cell r="A68">
            <v>243</v>
          </cell>
          <cell r="B68">
            <v>7</v>
          </cell>
          <cell r="C68" t="str">
            <v>BANCO MAXIMA S.A.</v>
          </cell>
        </row>
        <row r="69">
          <cell r="A69">
            <v>246</v>
          </cell>
          <cell r="B69">
            <v>1</v>
          </cell>
          <cell r="C69" t="str">
            <v>BANCO ABC BRASIL S.A</v>
          </cell>
        </row>
        <row r="70">
          <cell r="A70">
            <v>248</v>
          </cell>
          <cell r="B70">
            <v>8</v>
          </cell>
          <cell r="C70" t="str">
            <v>BANCO BOA VISTA INTERATLANTICO S.A</v>
          </cell>
        </row>
        <row r="71">
          <cell r="A71">
            <v>249</v>
          </cell>
          <cell r="B71">
            <v>6</v>
          </cell>
          <cell r="C71" t="str">
            <v>BANCO INVESTCRED UNIBANCO S.A.</v>
          </cell>
        </row>
        <row r="72">
          <cell r="A72">
            <v>250</v>
          </cell>
          <cell r="B72" t="str">
            <v>X</v>
          </cell>
          <cell r="C72" t="str">
            <v>BCV - BANCO DE CRÉDITO E VAREJO S.A.</v>
          </cell>
        </row>
        <row r="73">
          <cell r="A73">
            <v>254</v>
          </cell>
          <cell r="B73">
            <v>2</v>
          </cell>
          <cell r="C73" t="str">
            <v>PARANA BANCO S.A</v>
          </cell>
        </row>
        <row r="74">
          <cell r="A74">
            <v>263</v>
          </cell>
          <cell r="B74">
            <v>1</v>
          </cell>
          <cell r="C74" t="str">
            <v>BANCO CACIQUE S.A</v>
          </cell>
        </row>
        <row r="75">
          <cell r="A75">
            <v>265</v>
          </cell>
          <cell r="B75">
            <v>8</v>
          </cell>
          <cell r="C75" t="str">
            <v>BANCO FATOR S.A</v>
          </cell>
        </row>
        <row r="76">
          <cell r="A76">
            <v>266</v>
          </cell>
          <cell r="B76">
            <v>6</v>
          </cell>
          <cell r="C76" t="str">
            <v>BANCO CEDULA S.A.</v>
          </cell>
        </row>
        <row r="77">
          <cell r="A77">
            <v>300</v>
          </cell>
          <cell r="B77" t="str">
            <v>X</v>
          </cell>
          <cell r="C77" t="str">
            <v>BANCO DE LA NACION ARGENTINA</v>
          </cell>
        </row>
        <row r="78">
          <cell r="A78">
            <v>318</v>
          </cell>
          <cell r="B78">
            <v>2</v>
          </cell>
          <cell r="C78" t="str">
            <v>BANCO BMG S.A</v>
          </cell>
        </row>
        <row r="79">
          <cell r="A79">
            <v>320</v>
          </cell>
          <cell r="B79">
            <v>4</v>
          </cell>
          <cell r="C79" t="str">
            <v>BANCO INDUSTRIAL E COMERCIAL S.A</v>
          </cell>
        </row>
        <row r="80">
          <cell r="A80">
            <v>341</v>
          </cell>
          <cell r="B80">
            <v>7</v>
          </cell>
          <cell r="C80" t="str">
            <v>ITAÚ UNIBANCO S.A</v>
          </cell>
        </row>
        <row r="81">
          <cell r="A81">
            <v>366</v>
          </cell>
          <cell r="B81">
            <v>2</v>
          </cell>
          <cell r="C81" t="str">
            <v>BANCO SOCIETE GENERALE BRASIL S.A.</v>
          </cell>
        </row>
        <row r="82">
          <cell r="A82">
            <v>370</v>
          </cell>
          <cell r="B82">
            <v>0</v>
          </cell>
          <cell r="C82" t="str">
            <v>BANCO MIZUHO DO BRASIL S.A</v>
          </cell>
        </row>
        <row r="83">
          <cell r="A83">
            <v>376</v>
          </cell>
          <cell r="B83" t="str">
            <v>X</v>
          </cell>
          <cell r="C83" t="str">
            <v>BANCO J P MORGAN S.A.</v>
          </cell>
        </row>
        <row r="84">
          <cell r="A84">
            <v>389</v>
          </cell>
          <cell r="B84">
            <v>1</v>
          </cell>
          <cell r="C84" t="str">
            <v>BANCO MERCANTIL DO BRASIL S.A</v>
          </cell>
        </row>
        <row r="85">
          <cell r="A85">
            <v>394</v>
          </cell>
          <cell r="B85">
            <v>8</v>
          </cell>
          <cell r="C85" t="str">
            <v>BANCO FBRADESCO FINANCIAMENTOS S.A</v>
          </cell>
        </row>
        <row r="86">
          <cell r="A86">
            <v>399</v>
          </cell>
          <cell r="B86">
            <v>9</v>
          </cell>
          <cell r="C86" t="str">
            <v>HSBC BANK BRASIL S.A. - BANCO MULTIPLO</v>
          </cell>
        </row>
        <row r="87">
          <cell r="A87">
            <v>412</v>
          </cell>
          <cell r="B87" t="str">
            <v>X</v>
          </cell>
          <cell r="C87" t="str">
            <v>BANCO CAPITAL S.A</v>
          </cell>
        </row>
        <row r="88">
          <cell r="A88">
            <v>334.65170998631999</v>
          </cell>
          <cell r="B88">
            <v>2.7333333333333298</v>
          </cell>
          <cell r="C88" t="str">
            <v>BANCO DO BRASIL S.A</v>
          </cell>
        </row>
        <row r="89">
          <cell r="A89">
            <v>338.87679607528599</v>
          </cell>
          <cell r="B89">
            <v>2.3575757575757601</v>
          </cell>
          <cell r="C89" t="str">
            <v>BANCO DA AMAZÔNIA S.A</v>
          </cell>
        </row>
        <row r="90">
          <cell r="A90">
            <v>343.10188216425303</v>
          </cell>
          <cell r="B90">
            <v>1.9818181818181799</v>
          </cell>
          <cell r="C90" t="str">
            <v>BANCO DO NORDESTE DO BRASIL S.A</v>
          </cell>
        </row>
        <row r="91">
          <cell r="A91">
            <v>347.32696825321898</v>
          </cell>
          <cell r="B91">
            <v>1.60606060606061</v>
          </cell>
          <cell r="C91" t="str">
            <v>CREDICOAMO CRÉDITO RURAL COOPERATIVA</v>
          </cell>
        </row>
        <row r="92">
          <cell r="A92">
            <v>351.55205434218601</v>
          </cell>
          <cell r="B92">
            <v>1.23030303030303</v>
          </cell>
          <cell r="C92" t="str">
            <v>BNY MELLON BANCO S.A.</v>
          </cell>
        </row>
        <row r="93">
          <cell r="A93">
            <v>355.77714043115202</v>
          </cell>
          <cell r="B93">
            <v>0.85454545454544995</v>
          </cell>
          <cell r="C93" t="str">
            <v>BANCO AZTECA DO BRASIL S.A</v>
          </cell>
        </row>
        <row r="94">
          <cell r="A94">
            <v>360.00222652011797</v>
          </cell>
          <cell r="B94">
            <v>0.47878787878787998</v>
          </cell>
          <cell r="C94" t="str">
            <v>BANESTES S.A. BANCO DO ESTADO DO ESPIRITO</v>
          </cell>
        </row>
        <row r="95">
          <cell r="A95">
            <v>364.227312609085</v>
          </cell>
          <cell r="B95">
            <v>0.1030303030303</v>
          </cell>
          <cell r="C95" t="str">
            <v>BANCO ALFA S.A</v>
          </cell>
        </row>
        <row r="96">
          <cell r="A96">
            <v>368.45239869805101</v>
          </cell>
          <cell r="B96">
            <v>-0.27272727272726999</v>
          </cell>
          <cell r="C96" t="str">
            <v>BANCO SANTANDER S.A .</v>
          </cell>
        </row>
        <row r="97">
          <cell r="A97">
            <v>372.67748478701799</v>
          </cell>
          <cell r="B97">
            <v>-0.648484848484849</v>
          </cell>
          <cell r="C97" t="str">
            <v xml:space="preserve">BANCO BRADESCO BBI S.A </v>
          </cell>
        </row>
        <row r="98">
          <cell r="A98">
            <v>376.902570875984</v>
          </cell>
          <cell r="B98" t="str">
            <v>X</v>
          </cell>
          <cell r="C98" t="str">
            <v>BANCO DO ESTADO DO PARA S.A</v>
          </cell>
        </row>
        <row r="99">
          <cell r="A99">
            <v>381.12765696495097</v>
          </cell>
          <cell r="B99" t="str">
            <v>X</v>
          </cell>
          <cell r="C99" t="str">
            <v>BANCO CARGILL S.A.</v>
          </cell>
        </row>
        <row r="100">
          <cell r="A100">
            <v>385.35274305391698</v>
          </cell>
          <cell r="B100">
            <v>3.6078431372548998</v>
          </cell>
          <cell r="C100" t="str">
            <v>BANCO DO ESTADO DO RIO GRANDE DO SUL S.A</v>
          </cell>
        </row>
        <row r="101">
          <cell r="A101">
            <v>389.57782914288401</v>
          </cell>
          <cell r="B101">
            <v>3.4963880288957698</v>
          </cell>
          <cell r="C101" t="str">
            <v>BANCO DO ESTADO DE SERGIPE S.A</v>
          </cell>
        </row>
        <row r="102">
          <cell r="A102">
            <v>393.80291523185002</v>
          </cell>
          <cell r="B102">
            <v>3.3849329205366399</v>
          </cell>
          <cell r="C102" t="str">
            <v>HIPERCARD BANCO MÚLTIPLO S.A</v>
          </cell>
        </row>
        <row r="103">
          <cell r="A103">
            <v>398.028001320817</v>
          </cell>
          <cell r="B103">
            <v>3.2734778121775001</v>
          </cell>
          <cell r="C103" t="str">
            <v>BANCO BRADESCARD S.A</v>
          </cell>
        </row>
        <row r="104">
          <cell r="A104">
            <v>402.25308740978301</v>
          </cell>
          <cell r="B104">
            <v>3.1620227038183701</v>
          </cell>
          <cell r="C104" t="str">
            <v>BANCO BRACCE S/A</v>
          </cell>
        </row>
        <row r="105">
          <cell r="A105">
            <v>406.47817349874998</v>
          </cell>
          <cell r="B105">
            <v>3.0505675954592402</v>
          </cell>
          <cell r="C105" t="str">
            <v>BANCO MORGAN STANLEY DEAN WITTER S.A</v>
          </cell>
        </row>
        <row r="106">
          <cell r="A106">
            <v>410.70325958771599</v>
          </cell>
          <cell r="B106">
            <v>2.9391124871001102</v>
          </cell>
          <cell r="C106" t="str">
            <v>BPN BRASIL BANCO MÚLTIPLO S.A</v>
          </cell>
        </row>
        <row r="107">
          <cell r="A107">
            <v>414.92834567668302</v>
          </cell>
          <cell r="B107">
            <v>2.82765737874097</v>
          </cell>
          <cell r="C107" t="str">
            <v>BRB - BANCO DE BRASILIA S.A</v>
          </cell>
        </row>
        <row r="108">
          <cell r="A108">
            <v>419.15343176564897</v>
          </cell>
          <cell r="B108">
            <v>2.71620227038184</v>
          </cell>
          <cell r="C108" t="str">
            <v>BANCO J SAFRA S.A.</v>
          </cell>
        </row>
        <row r="109">
          <cell r="A109">
            <v>423.37851785461498</v>
          </cell>
          <cell r="B109">
            <v>2.6047471620227101</v>
          </cell>
          <cell r="C109" t="str">
            <v>BANCO CR2 S.A</v>
          </cell>
        </row>
        <row r="110">
          <cell r="A110">
            <v>427.60360394358202</v>
          </cell>
          <cell r="B110">
            <v>2.4932920536635699</v>
          </cell>
          <cell r="C110" t="str">
            <v>BANCO KDB DO BRASIL S.A</v>
          </cell>
        </row>
        <row r="111">
          <cell r="A111">
            <v>431.82869003254802</v>
          </cell>
          <cell r="B111">
            <v>2.3818369453044399</v>
          </cell>
          <cell r="C111" t="str">
            <v>BANCO INTERMEDIUM S.A .</v>
          </cell>
        </row>
        <row r="112">
          <cell r="A112">
            <v>436.053776121515</v>
          </cell>
          <cell r="B112">
            <v>2.2703818369453099</v>
          </cell>
          <cell r="C112" t="str">
            <v>BES INVESTIMENTO DO BRASIL S.A . BANCO DE</v>
          </cell>
        </row>
        <row r="113">
          <cell r="A113">
            <v>440.27886221048101</v>
          </cell>
          <cell r="B113">
            <v>2.1589267285861702</v>
          </cell>
          <cell r="C113" t="str">
            <v>BANCO ORIGINAL DO AGRONEGÓCIO S.A</v>
          </cell>
        </row>
        <row r="114">
          <cell r="A114">
            <v>444.50394829944798</v>
          </cell>
          <cell r="B114">
            <v>2.0474716202270402</v>
          </cell>
          <cell r="C114" t="str">
            <v>BBN BANCO BRASILEIRO DE NEGÓCIOS</v>
          </cell>
        </row>
        <row r="115">
          <cell r="A115">
            <v>448.72903438841502</v>
          </cell>
          <cell r="B115">
            <v>2.7333333333333298</v>
          </cell>
          <cell r="C115" t="str">
            <v>BANCO DO BRASIL S.A</v>
          </cell>
        </row>
        <row r="116">
          <cell r="A116">
            <v>452.95412047738103</v>
          </cell>
          <cell r="B116">
            <v>2.3575757575757601</v>
          </cell>
          <cell r="C116" t="str">
            <v>BANCO DA AMAZÔNIA S.A</v>
          </cell>
        </row>
        <row r="117">
          <cell r="A117">
            <v>457.179206566348</v>
          </cell>
          <cell r="B117">
            <v>1.9818181818181799</v>
          </cell>
          <cell r="C117" t="str">
            <v>BANCO DO NORDESTE DO BRASIL S.A</v>
          </cell>
        </row>
        <row r="118">
          <cell r="A118">
            <v>461.40429265531401</v>
          </cell>
          <cell r="B118">
            <v>1.60606060606061</v>
          </cell>
          <cell r="C118" t="str">
            <v>CREDICOAMO CRÉDITO RURAL COOPERATIVA</v>
          </cell>
        </row>
        <row r="119">
          <cell r="A119">
            <v>465.62937874428098</v>
          </cell>
          <cell r="B119">
            <v>1.23030303030303</v>
          </cell>
          <cell r="C119" t="str">
            <v>BNY MELLON BANCO S.A.</v>
          </cell>
        </row>
        <row r="120">
          <cell r="A120">
            <v>469.85446483324699</v>
          </cell>
          <cell r="B120">
            <v>0.85454545454544995</v>
          </cell>
          <cell r="C120" t="str">
            <v>BANCO AZTECA DO BRASIL S.A</v>
          </cell>
        </row>
        <row r="121">
          <cell r="A121">
            <v>474.079550922213</v>
          </cell>
          <cell r="B121">
            <v>0.47878787878787998</v>
          </cell>
          <cell r="C121" t="str">
            <v>BANESTES S.A. BANCO DO ESTADO DO ESPIRITO</v>
          </cell>
        </row>
        <row r="122">
          <cell r="A122">
            <v>478.30463701117998</v>
          </cell>
          <cell r="B122">
            <v>0.1030303030303</v>
          </cell>
          <cell r="C122" t="str">
            <v>BANCO ALFA S.A</v>
          </cell>
        </row>
        <row r="123">
          <cell r="A123">
            <v>482.52972310014599</v>
          </cell>
          <cell r="B123">
            <v>-0.27272727272726999</v>
          </cell>
          <cell r="C123" t="str">
            <v>BANCO SANTANDER S.A .</v>
          </cell>
        </row>
        <row r="124">
          <cell r="A124">
            <v>486.75480918911302</v>
          </cell>
          <cell r="B124">
            <v>-0.648484848484849</v>
          </cell>
          <cell r="C124" t="str">
            <v xml:space="preserve">BANCO BRADESCO BBI S.A </v>
          </cell>
        </row>
        <row r="125">
          <cell r="A125">
            <v>490.97989527807903</v>
          </cell>
          <cell r="B125" t="str">
            <v>X</v>
          </cell>
          <cell r="C125" t="str">
            <v>BANCO DO ESTADO DO PARA S.A</v>
          </cell>
        </row>
        <row r="126">
          <cell r="A126">
            <v>495.204981367046</v>
          </cell>
          <cell r="B126" t="str">
            <v>X</v>
          </cell>
          <cell r="C126" t="str">
            <v>BANCO CARGILL S.A.</v>
          </cell>
        </row>
        <row r="127">
          <cell r="A127">
            <v>499.43006745601201</v>
          </cell>
          <cell r="B127">
            <v>3.6078431372548998</v>
          </cell>
          <cell r="C127" t="str">
            <v>BANCO DO ESTADO DO RIO GRANDE DO SUL S.A</v>
          </cell>
        </row>
        <row r="128">
          <cell r="A128">
            <v>503.65515354497899</v>
          </cell>
          <cell r="B128">
            <v>3.4963880288957698</v>
          </cell>
          <cell r="C128" t="str">
            <v>BANCO DO ESTADO DE SERGIPE S.A</v>
          </cell>
        </row>
        <row r="129">
          <cell r="A129">
            <v>507.880239633945</v>
          </cell>
          <cell r="B129">
            <v>3.3849329205366399</v>
          </cell>
          <cell r="C129" t="str">
            <v>HIPERCARD BANCO MÚLTIPLO S.A</v>
          </cell>
        </row>
        <row r="130">
          <cell r="A130">
            <v>512.10532572291197</v>
          </cell>
          <cell r="B130">
            <v>3.2734778121775001</v>
          </cell>
          <cell r="C130" t="str">
            <v>BANCO BRADESCARD S.A</v>
          </cell>
        </row>
        <row r="131">
          <cell r="A131">
            <v>516.33041181187798</v>
          </cell>
          <cell r="B131">
            <v>3.1620227038183701</v>
          </cell>
          <cell r="C131" t="str">
            <v>BANCO BRACCE S/A</v>
          </cell>
        </row>
      </sheetData>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Principal"/>
      <sheetName val="Cadastro SAP - Cliente"/>
      <sheetName val="SAP - Conta Contrato"/>
      <sheetName val="Negociação "/>
      <sheetName val="Complemento Negociação"/>
      <sheetName val="Pré-Requisitos "/>
      <sheetName val="Empresa-DetalhesPagto"/>
      <sheetName val="DadosGerais-Pagamentos"/>
      <sheetName val="DadosGerais-Controle"/>
      <sheetName val="DadosGerais-Identificação"/>
      <sheetName val="DadosGerais-Endereço"/>
      <sheetName val="DadosGerais-BillerDirect"/>
      <sheetName val="DadosGerais-Status"/>
      <sheetName val="DadosGerais-Avaliações"/>
      <sheetName val="DadosGerais-Solvência"/>
      <sheetName val="DadosGerais-Jurídico"/>
      <sheetName val="DadosGerais-InformaçõesExerc"/>
      <sheetName val="DadosGerais-Fiscal"/>
      <sheetName val="Empresa-DadosContabeis"/>
      <sheetName val="Relações"/>
      <sheetName val="Lista de Dados"/>
      <sheetName val="Envio Eletrônico - Físico"/>
      <sheetName val="Faturamento"/>
      <sheetName val="Alteração Diversos Convênios"/>
      <sheetName val="Pré-Requisitos"/>
      <sheetName val="Negociação"/>
      <sheetName val="Plano x Cód Alpha"/>
      <sheetName val="Negociação Comercial"/>
      <sheetName val="Exames e Unidades Credenciadas"/>
      <sheetName val="Pré-Requisito Pré-Faturamento"/>
      <sheetName val="Pré-Requisito Unid.Atend."/>
      <sheetName val="Pré-Requisito por Plano"/>
      <sheetName val="CNPJ's Faturamento"/>
      <sheetName val="Envio Físico"/>
      <sheetName val="Lista de Dados-Banco"/>
      <sheetName val="ListaBancodigito"/>
      <sheetName val="Dicionario Dad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ow r="2">
          <cell r="A2" t="str">
            <v>xuxu</v>
          </cell>
          <cell r="B2">
            <v>9</v>
          </cell>
          <cell r="C2" t="str">
            <v>BANCO DO BRASIL S.A</v>
          </cell>
        </row>
        <row r="3">
          <cell r="A3">
            <v>3</v>
          </cell>
          <cell r="B3">
            <v>5</v>
          </cell>
          <cell r="C3" t="str">
            <v>BANCO DA AMAZÔNIA S.A</v>
          </cell>
        </row>
        <row r="4">
          <cell r="A4">
            <v>4</v>
          </cell>
          <cell r="B4">
            <v>3</v>
          </cell>
          <cell r="C4" t="str">
            <v>BANCO DO NORDESTE DO BRASIL S.A</v>
          </cell>
        </row>
        <row r="5">
          <cell r="A5">
            <v>10</v>
          </cell>
          <cell r="B5">
            <v>8</v>
          </cell>
          <cell r="C5" t="str">
            <v>CREDICOAMO CRÉDITO RURAL COOPERATIVA</v>
          </cell>
        </row>
        <row r="6">
          <cell r="A6">
            <v>17</v>
          </cell>
          <cell r="B6">
            <v>5</v>
          </cell>
          <cell r="C6" t="str">
            <v>BNY MELLON BANCO S.A.</v>
          </cell>
        </row>
        <row r="7">
          <cell r="A7">
            <v>19</v>
          </cell>
          <cell r="B7">
            <v>1</v>
          </cell>
          <cell r="C7" t="str">
            <v>BANCO AZTECA DO BRASIL S.A</v>
          </cell>
        </row>
        <row r="8">
          <cell r="A8">
            <v>21</v>
          </cell>
          <cell r="B8">
            <v>3</v>
          </cell>
          <cell r="C8" t="str">
            <v>BANESTES S.A. BANCO DO ESTADO DO ESPIRITO</v>
          </cell>
        </row>
        <row r="9">
          <cell r="A9">
            <v>25</v>
          </cell>
          <cell r="B9">
            <v>6</v>
          </cell>
          <cell r="C9" t="str">
            <v>BANCO ALFA S.A</v>
          </cell>
        </row>
        <row r="10">
          <cell r="A10">
            <v>33</v>
          </cell>
          <cell r="B10">
            <v>7</v>
          </cell>
          <cell r="C10" t="str">
            <v>BANCO SANTANDER S.A .</v>
          </cell>
        </row>
        <row r="11">
          <cell r="A11">
            <v>36</v>
          </cell>
          <cell r="B11">
            <v>1</v>
          </cell>
          <cell r="C11" t="str">
            <v xml:space="preserve">BANCO BRADESCO BBI S.A </v>
          </cell>
        </row>
        <row r="12">
          <cell r="A12">
            <v>37</v>
          </cell>
          <cell r="B12" t="str">
            <v>X</v>
          </cell>
          <cell r="C12" t="str">
            <v>BANCO DO ESTADO DO PARA S.A</v>
          </cell>
        </row>
        <row r="13">
          <cell r="A13">
            <v>40</v>
          </cell>
          <cell r="B13" t="str">
            <v>X</v>
          </cell>
          <cell r="C13" t="str">
            <v>BANCO CARGILL S.A.</v>
          </cell>
        </row>
        <row r="14">
          <cell r="A14">
            <v>41</v>
          </cell>
          <cell r="B14">
            <v>8</v>
          </cell>
          <cell r="C14" t="str">
            <v>BANCO DO ESTADO DO RIO GRANDE DO SUL S.A</v>
          </cell>
        </row>
        <row r="15">
          <cell r="A15">
            <v>47</v>
          </cell>
          <cell r="B15">
            <v>7</v>
          </cell>
          <cell r="C15" t="str">
            <v>BANCO DO ESTADO DE SERGIPE S.A</v>
          </cell>
        </row>
        <row r="16">
          <cell r="A16">
            <v>62</v>
          </cell>
          <cell r="B16">
            <v>0</v>
          </cell>
          <cell r="C16" t="str">
            <v>HIPERCARD BANCO MÚLTIPLO S.A</v>
          </cell>
        </row>
        <row r="17">
          <cell r="A17">
            <v>63</v>
          </cell>
          <cell r="B17">
            <v>9</v>
          </cell>
          <cell r="C17" t="str">
            <v>BANCO BRADESCARD S.A</v>
          </cell>
        </row>
        <row r="18">
          <cell r="A18">
            <v>65</v>
          </cell>
          <cell r="B18">
            <v>5</v>
          </cell>
          <cell r="C18" t="str">
            <v>BANCO BRACCE S/A</v>
          </cell>
        </row>
        <row r="19">
          <cell r="A19">
            <v>66</v>
          </cell>
          <cell r="B19">
            <v>3</v>
          </cell>
          <cell r="C19" t="str">
            <v>BANCO MORGAN STANLEY DEAN WITTER S.A</v>
          </cell>
        </row>
        <row r="20">
          <cell r="A20">
            <v>69</v>
          </cell>
          <cell r="B20">
            <v>8</v>
          </cell>
          <cell r="C20" t="str">
            <v>BPN BRASIL BANCO MÚLTIPLO S.A</v>
          </cell>
        </row>
        <row r="21">
          <cell r="A21">
            <v>70</v>
          </cell>
          <cell r="B21">
            <v>1</v>
          </cell>
          <cell r="C21" t="str">
            <v>BRB - BANCO DE BRASILIA S.A</v>
          </cell>
        </row>
        <row r="22">
          <cell r="A22">
            <v>74</v>
          </cell>
          <cell r="B22">
            <v>4</v>
          </cell>
          <cell r="C22" t="str">
            <v>BANCO J SAFRA S.A.</v>
          </cell>
        </row>
        <row r="23">
          <cell r="A23">
            <v>75</v>
          </cell>
          <cell r="B23">
            <v>2</v>
          </cell>
          <cell r="C23" t="str">
            <v>BANCO CR2 S.A</v>
          </cell>
        </row>
        <row r="24">
          <cell r="A24">
            <v>76</v>
          </cell>
          <cell r="B24">
            <v>0</v>
          </cell>
          <cell r="C24" t="str">
            <v>BANCO KDB DO BRASIL S.A</v>
          </cell>
        </row>
        <row r="25">
          <cell r="A25">
            <v>77</v>
          </cell>
          <cell r="B25">
            <v>9</v>
          </cell>
          <cell r="C25" t="str">
            <v>BANCO INTERMEDIUM S.A .</v>
          </cell>
        </row>
        <row r="26">
          <cell r="A26">
            <v>78</v>
          </cell>
          <cell r="B26">
            <v>7</v>
          </cell>
          <cell r="C26" t="str">
            <v>BES INVESTIMENTO DO BRASIL S.A . BANCO DE</v>
          </cell>
        </row>
        <row r="27">
          <cell r="A27">
            <v>79</v>
          </cell>
          <cell r="B27">
            <v>5</v>
          </cell>
          <cell r="C27" t="str">
            <v>BANCO ORIGINAL DO AGRONEGÓCIO S.A</v>
          </cell>
        </row>
        <row r="28">
          <cell r="A28">
            <v>81</v>
          </cell>
          <cell r="B28">
            <v>7</v>
          </cell>
          <cell r="C28" t="str">
            <v>BBN BANCO BRASILEIRO DE NEGÓCIOS</v>
          </cell>
        </row>
        <row r="29">
          <cell r="A29">
            <v>82</v>
          </cell>
          <cell r="B29">
            <v>5</v>
          </cell>
          <cell r="C29" t="str">
            <v>BANCO TOPÁZIO S. A.</v>
          </cell>
        </row>
        <row r="30">
          <cell r="A30">
            <v>83</v>
          </cell>
          <cell r="B30">
            <v>3</v>
          </cell>
          <cell r="C30" t="str">
            <v>BANCO DA CHINA BRASIL S. A</v>
          </cell>
        </row>
        <row r="31">
          <cell r="A31">
            <v>84</v>
          </cell>
          <cell r="B31">
            <v>1</v>
          </cell>
          <cell r="C31" t="str">
            <v>UNIPRIME NORTE DO PARANÁ</v>
          </cell>
        </row>
        <row r="32">
          <cell r="A32">
            <v>85</v>
          </cell>
          <cell r="B32" t="str">
            <v>X</v>
          </cell>
          <cell r="C32" t="str">
            <v>COOP CENTRAL DE CRED URBANO</v>
          </cell>
        </row>
        <row r="33">
          <cell r="A33">
            <v>86</v>
          </cell>
          <cell r="B33">
            <v>8</v>
          </cell>
          <cell r="C33" t="str">
            <v>SCFI OBOE</v>
          </cell>
        </row>
        <row r="34">
          <cell r="A34">
            <v>87</v>
          </cell>
          <cell r="B34">
            <v>6</v>
          </cell>
          <cell r="C34" t="str">
            <v>UNICRED CENTRAL SANTA CATARINA</v>
          </cell>
        </row>
        <row r="35">
          <cell r="A35">
            <v>88</v>
          </cell>
          <cell r="B35">
            <v>4</v>
          </cell>
          <cell r="C35" t="str">
            <v>BANCO RANDON S.A</v>
          </cell>
        </row>
        <row r="36">
          <cell r="A36">
            <v>89</v>
          </cell>
          <cell r="B36">
            <v>2</v>
          </cell>
          <cell r="C36" t="str">
            <v>CC REGIÃO DA MOGIANA</v>
          </cell>
        </row>
        <row r="37">
          <cell r="A37">
            <v>90</v>
          </cell>
          <cell r="B37">
            <v>6</v>
          </cell>
          <cell r="C37" t="str">
            <v>UNICRED CENTRAL SP</v>
          </cell>
        </row>
        <row r="38">
          <cell r="A38">
            <v>91</v>
          </cell>
          <cell r="B38">
            <v>4</v>
          </cell>
          <cell r="C38" t="str">
            <v>UNICRED CENTRAL RS</v>
          </cell>
        </row>
        <row r="39">
          <cell r="A39">
            <v>92</v>
          </cell>
          <cell r="B39">
            <v>2</v>
          </cell>
          <cell r="C39" t="str">
            <v>BRICKELL S.A. CRÉDITO, FINANCIAMENTO E</v>
          </cell>
        </row>
        <row r="40">
          <cell r="A40">
            <v>94</v>
          </cell>
          <cell r="B40">
            <v>9</v>
          </cell>
          <cell r="C40" t="str">
            <v>BANCO PETRA S.A</v>
          </cell>
        </row>
        <row r="41">
          <cell r="A41">
            <v>96</v>
          </cell>
          <cell r="B41">
            <v>5</v>
          </cell>
          <cell r="C41" t="str">
            <v>BANCO BM&amp;F DE SERVIÇOS DE LIQUIDAÇÃO E</v>
          </cell>
        </row>
        <row r="42">
          <cell r="A42">
            <v>97</v>
          </cell>
          <cell r="B42">
            <v>3</v>
          </cell>
          <cell r="C42" t="str">
            <v>COOP. CENTRAL DE CRÉDITO NOROESTE</v>
          </cell>
        </row>
        <row r="43">
          <cell r="A43">
            <v>98</v>
          </cell>
          <cell r="B43">
            <v>1</v>
          </cell>
          <cell r="C43" t="str">
            <v>CREDIALIANÇA COOPERTIVA DE CREDITO RURAL</v>
          </cell>
        </row>
        <row r="44">
          <cell r="A44">
            <v>99</v>
          </cell>
          <cell r="B44" t="str">
            <v>X</v>
          </cell>
          <cell r="C44" t="str">
            <v>CENTRAL INTERESTADUAL DE COOPERATIVAS DE</v>
          </cell>
        </row>
        <row r="45">
          <cell r="A45">
            <v>104</v>
          </cell>
          <cell r="B45" t="str">
            <v>X</v>
          </cell>
          <cell r="C45" t="str">
            <v>CAIXA ECONOMICA FEDERAL</v>
          </cell>
        </row>
        <row r="46">
          <cell r="A46">
            <v>107</v>
          </cell>
          <cell r="B46">
            <v>4</v>
          </cell>
          <cell r="C46" t="str">
            <v>BANCO BBM S.A</v>
          </cell>
        </row>
        <row r="47">
          <cell r="A47">
            <v>112</v>
          </cell>
          <cell r="B47">
            <v>0</v>
          </cell>
          <cell r="C47" t="str">
            <v>UNICRED BRASIL CENTRAL</v>
          </cell>
        </row>
        <row r="48">
          <cell r="A48">
            <v>114</v>
          </cell>
          <cell r="B48">
            <v>7</v>
          </cell>
          <cell r="C48" t="str">
            <v>CECOOPES-CENTRAL DAS COOP DE ECONOMIA E</v>
          </cell>
        </row>
        <row r="49">
          <cell r="A49">
            <v>119</v>
          </cell>
          <cell r="B49">
            <v>8</v>
          </cell>
          <cell r="C49" t="str">
            <v>BANCO WESTERN UNION DO BRASIL S/A</v>
          </cell>
        </row>
        <row r="50">
          <cell r="A50">
            <v>120</v>
          </cell>
          <cell r="B50">
            <v>1</v>
          </cell>
          <cell r="C50" t="str">
            <v>BANCO RODOBENS S.A</v>
          </cell>
        </row>
        <row r="51">
          <cell r="A51">
            <v>121</v>
          </cell>
          <cell r="B51" t="str">
            <v>X</v>
          </cell>
          <cell r="C51" t="str">
            <v>BANCO GERADOR S.A</v>
          </cell>
        </row>
        <row r="52">
          <cell r="A52">
            <v>122</v>
          </cell>
          <cell r="B52">
            <v>8</v>
          </cell>
          <cell r="C52" t="str">
            <v>BANCO BERJ S/A</v>
          </cell>
        </row>
        <row r="53">
          <cell r="A53">
            <v>124</v>
          </cell>
          <cell r="B53">
            <v>4</v>
          </cell>
          <cell r="C53" t="str">
            <v>BANCO WOORI BANK DO BRASIL S.A</v>
          </cell>
        </row>
        <row r="54">
          <cell r="A54">
            <v>125</v>
          </cell>
          <cell r="B54">
            <v>2</v>
          </cell>
          <cell r="C54" t="str">
            <v>BRASIL PLURAL S.A. BANCO MÚLTIPLO</v>
          </cell>
        </row>
        <row r="55">
          <cell r="A55">
            <v>184</v>
          </cell>
          <cell r="B55">
            <v>8</v>
          </cell>
          <cell r="C55" t="str">
            <v xml:space="preserve">BANCO ITAU BBA S.A </v>
          </cell>
        </row>
        <row r="56">
          <cell r="A56">
            <v>204</v>
          </cell>
          <cell r="B56">
            <v>6</v>
          </cell>
          <cell r="C56" t="str">
            <v>BANCO BRADESCO CARTÕES S.A .</v>
          </cell>
        </row>
        <row r="57">
          <cell r="A57">
            <v>208</v>
          </cell>
          <cell r="B57">
            <v>9</v>
          </cell>
          <cell r="C57" t="str">
            <v>BANCO BTG PACTUAL S.A</v>
          </cell>
        </row>
        <row r="58">
          <cell r="A58">
            <v>212</v>
          </cell>
          <cell r="B58">
            <v>7</v>
          </cell>
          <cell r="C58" t="str">
            <v>BANCO ORIGINAL S.A</v>
          </cell>
        </row>
        <row r="59">
          <cell r="A59">
            <v>213</v>
          </cell>
          <cell r="B59">
            <v>5</v>
          </cell>
          <cell r="C59" t="str">
            <v>BANCO ARBI S.A</v>
          </cell>
        </row>
        <row r="60">
          <cell r="A60">
            <v>214</v>
          </cell>
          <cell r="B60">
            <v>3</v>
          </cell>
          <cell r="C60" t="str">
            <v>BANCO DIBENS S.A</v>
          </cell>
        </row>
        <row r="61">
          <cell r="A61">
            <v>217</v>
          </cell>
          <cell r="B61">
            <v>8</v>
          </cell>
          <cell r="C61" t="str">
            <v>BANCO JOHN DEERE S.A.</v>
          </cell>
        </row>
        <row r="62">
          <cell r="A62">
            <v>218</v>
          </cell>
          <cell r="B62">
            <v>6</v>
          </cell>
          <cell r="C62" t="str">
            <v>BANCO BONSUCESSO S.A</v>
          </cell>
        </row>
        <row r="63">
          <cell r="A63">
            <v>222</v>
          </cell>
          <cell r="B63">
            <v>4</v>
          </cell>
          <cell r="C63" t="str">
            <v>BANCO CREDIT AGRICOLE BRASIL S.ª</v>
          </cell>
        </row>
        <row r="64">
          <cell r="A64">
            <v>224</v>
          </cell>
          <cell r="B64">
            <v>0</v>
          </cell>
          <cell r="C64" t="str">
            <v>BANCO FIBRA S.A</v>
          </cell>
        </row>
        <row r="65">
          <cell r="A65">
            <v>233</v>
          </cell>
          <cell r="B65" t="str">
            <v>X</v>
          </cell>
          <cell r="C65" t="str">
            <v>BANCO CIFRA S.A</v>
          </cell>
        </row>
        <row r="66">
          <cell r="A66">
            <v>237</v>
          </cell>
          <cell r="B66">
            <v>2</v>
          </cell>
          <cell r="C66" t="str">
            <v>BANCO BRADESCO S.A</v>
          </cell>
        </row>
        <row r="67">
          <cell r="A67">
            <v>241</v>
          </cell>
          <cell r="B67">
            <v>0</v>
          </cell>
          <cell r="C67" t="str">
            <v>BANCO CLASSICO S.A</v>
          </cell>
        </row>
        <row r="68">
          <cell r="A68">
            <v>243</v>
          </cell>
          <cell r="B68">
            <v>7</v>
          </cell>
          <cell r="C68" t="str">
            <v>BANCO MAXIMA S.A.</v>
          </cell>
        </row>
        <row r="69">
          <cell r="A69">
            <v>246</v>
          </cell>
          <cell r="B69">
            <v>1</v>
          </cell>
          <cell r="C69" t="str">
            <v>BANCO ABC BRASIL S.A</v>
          </cell>
        </row>
        <row r="70">
          <cell r="A70">
            <v>248</v>
          </cell>
          <cell r="B70">
            <v>8</v>
          </cell>
          <cell r="C70" t="str">
            <v>BANCO BOA VISTA INTERATLANTICO S.A</v>
          </cell>
        </row>
        <row r="71">
          <cell r="A71">
            <v>249</v>
          </cell>
          <cell r="B71">
            <v>6</v>
          </cell>
          <cell r="C71" t="str">
            <v>BANCO INVESTCRED UNIBANCO S.A.</v>
          </cell>
        </row>
        <row r="72">
          <cell r="A72">
            <v>250</v>
          </cell>
          <cell r="B72" t="str">
            <v>X</v>
          </cell>
          <cell r="C72" t="str">
            <v>BCV - BANCO DE CRÉDITO E VAREJO S.A.</v>
          </cell>
        </row>
        <row r="73">
          <cell r="A73">
            <v>254</v>
          </cell>
          <cell r="B73">
            <v>2</v>
          </cell>
          <cell r="C73" t="str">
            <v>PARANA BANCO S.A</v>
          </cell>
        </row>
        <row r="74">
          <cell r="A74">
            <v>263</v>
          </cell>
          <cell r="B74">
            <v>1</v>
          </cell>
          <cell r="C74" t="str">
            <v>BANCO CACIQUE S.A</v>
          </cell>
        </row>
        <row r="75">
          <cell r="A75">
            <v>265</v>
          </cell>
          <cell r="B75">
            <v>8</v>
          </cell>
          <cell r="C75" t="str">
            <v>BANCO FATOR S.A</v>
          </cell>
        </row>
        <row r="76">
          <cell r="A76">
            <v>266</v>
          </cell>
          <cell r="B76">
            <v>6</v>
          </cell>
          <cell r="C76" t="str">
            <v>BANCO CEDULA S.A.</v>
          </cell>
        </row>
        <row r="77">
          <cell r="A77">
            <v>300</v>
          </cell>
          <cell r="B77" t="str">
            <v>X</v>
          </cell>
          <cell r="C77" t="str">
            <v>BANCO DE LA NACION ARGENTINA</v>
          </cell>
        </row>
        <row r="78">
          <cell r="A78">
            <v>318</v>
          </cell>
          <cell r="B78">
            <v>2</v>
          </cell>
          <cell r="C78" t="str">
            <v>BANCO BMG S.A</v>
          </cell>
        </row>
        <row r="79">
          <cell r="A79">
            <v>320</v>
          </cell>
          <cell r="B79">
            <v>4</v>
          </cell>
          <cell r="C79" t="str">
            <v>BANCO INDUSTRIAL E COMERCIAL S.A</v>
          </cell>
        </row>
        <row r="80">
          <cell r="A80">
            <v>341</v>
          </cell>
          <cell r="B80">
            <v>7</v>
          </cell>
          <cell r="C80" t="str">
            <v>ITAÚ UNIBANCO S.A</v>
          </cell>
        </row>
        <row r="81">
          <cell r="A81">
            <v>366</v>
          </cell>
          <cell r="B81">
            <v>2</v>
          </cell>
          <cell r="C81" t="str">
            <v>BANCO SOCIETE GENERALE BRASIL S.A.</v>
          </cell>
        </row>
        <row r="82">
          <cell r="A82">
            <v>370</v>
          </cell>
          <cell r="B82">
            <v>0</v>
          </cell>
          <cell r="C82" t="str">
            <v>BANCO MIZUHO DO BRASIL S.A</v>
          </cell>
        </row>
        <row r="83">
          <cell r="A83">
            <v>376</v>
          </cell>
          <cell r="B83" t="str">
            <v>X</v>
          </cell>
          <cell r="C83" t="str">
            <v>BANCO J P MORGAN S.A.</v>
          </cell>
        </row>
        <row r="84">
          <cell r="A84">
            <v>389</v>
          </cell>
          <cell r="B84">
            <v>1</v>
          </cell>
          <cell r="C84" t="str">
            <v>BANCO MERCANTIL DO BRASIL S.A</v>
          </cell>
        </row>
        <row r="85">
          <cell r="A85">
            <v>394</v>
          </cell>
          <cell r="B85">
            <v>8</v>
          </cell>
          <cell r="C85" t="str">
            <v>BANCO FBRADESCO FINANCIAMENTOS S.A</v>
          </cell>
        </row>
        <row r="86">
          <cell r="A86">
            <v>399</v>
          </cell>
          <cell r="B86">
            <v>9</v>
          </cell>
          <cell r="C86" t="str">
            <v>HSBC BANK BRASIL S.A. - BANCO MULTIPLO</v>
          </cell>
        </row>
        <row r="87">
          <cell r="A87">
            <v>412</v>
          </cell>
          <cell r="B87" t="str">
            <v>X</v>
          </cell>
          <cell r="C87" t="str">
            <v>BANCO CAPITAL S.A</v>
          </cell>
        </row>
        <row r="88">
          <cell r="A88">
            <v>422</v>
          </cell>
          <cell r="B88">
            <v>7</v>
          </cell>
          <cell r="C88" t="str">
            <v>BANCO SAFRA S.A</v>
          </cell>
        </row>
        <row r="89">
          <cell r="A89">
            <v>456</v>
          </cell>
          <cell r="B89">
            <v>1</v>
          </cell>
          <cell r="C89" t="str">
            <v>BANCO DE TOKIO-MITSUBISHI UFJ BRASIL S.A</v>
          </cell>
        </row>
        <row r="90">
          <cell r="A90">
            <v>464</v>
          </cell>
          <cell r="B90">
            <v>2</v>
          </cell>
          <cell r="C90" t="str">
            <v>BANCO SUMITOMO MITSUI BRASILEIRO S.A.</v>
          </cell>
        </row>
        <row r="91">
          <cell r="A91">
            <v>473</v>
          </cell>
          <cell r="B91">
            <v>1</v>
          </cell>
          <cell r="C91" t="str">
            <v>BANCO CAIXA GERAL - BRASIL S.A</v>
          </cell>
        </row>
        <row r="92">
          <cell r="A92">
            <v>477</v>
          </cell>
          <cell r="B92">
            <v>4</v>
          </cell>
          <cell r="C92" t="str">
            <v>CITIBANK N.A</v>
          </cell>
        </row>
        <row r="93">
          <cell r="A93">
            <v>487</v>
          </cell>
          <cell r="B93">
            <v>1</v>
          </cell>
          <cell r="C93" t="str">
            <v>DEUTSCHE BANK S.A. BANCO ALEMÃO</v>
          </cell>
        </row>
        <row r="94">
          <cell r="A94">
            <v>492</v>
          </cell>
          <cell r="B94">
            <v>8</v>
          </cell>
          <cell r="C94" t="str">
            <v>ING BANK N.V.</v>
          </cell>
        </row>
        <row r="95">
          <cell r="A95">
            <v>494</v>
          </cell>
          <cell r="B95">
            <v>4</v>
          </cell>
          <cell r="C95" t="str">
            <v>BANCO DE LA REPUBLICA ORIENTAL DEL</v>
          </cell>
        </row>
        <row r="96">
          <cell r="A96">
            <v>495</v>
          </cell>
          <cell r="B96">
            <v>2</v>
          </cell>
          <cell r="C96" t="str">
            <v>BANCO DE LA PROVINCIA DE BUENOS AIRES</v>
          </cell>
        </row>
        <row r="97">
          <cell r="A97">
            <v>505</v>
          </cell>
          <cell r="B97">
            <v>3</v>
          </cell>
          <cell r="C97" t="str">
            <v>BANCO CREDIT SUISSE (BRASIL) S.A.</v>
          </cell>
        </row>
        <row r="98">
          <cell r="A98">
            <v>600</v>
          </cell>
          <cell r="B98">
            <v>9</v>
          </cell>
          <cell r="C98" t="str">
            <v>BANCO LUSO BRASILEIRO S.A</v>
          </cell>
        </row>
        <row r="99">
          <cell r="A99">
            <v>604</v>
          </cell>
          <cell r="B99">
            <v>1</v>
          </cell>
          <cell r="C99" t="str">
            <v>BANCO INDUSTRIAL DO BRASIL S.A</v>
          </cell>
        </row>
        <row r="100">
          <cell r="A100">
            <v>610</v>
          </cell>
          <cell r="B100">
            <v>6</v>
          </cell>
          <cell r="C100" t="str">
            <v>BANCO VR S.A</v>
          </cell>
        </row>
        <row r="101">
          <cell r="A101">
            <v>611</v>
          </cell>
          <cell r="B101">
            <v>4</v>
          </cell>
          <cell r="C101" t="str">
            <v>BANCO PAULISTA S.A</v>
          </cell>
        </row>
        <row r="102">
          <cell r="A102">
            <v>612</v>
          </cell>
          <cell r="B102">
            <v>2</v>
          </cell>
          <cell r="C102" t="str">
            <v>BANCO GUANABARA S.A</v>
          </cell>
        </row>
        <row r="103">
          <cell r="A103">
            <v>613</v>
          </cell>
          <cell r="B103">
            <v>0</v>
          </cell>
          <cell r="C103" t="str">
            <v>BANCO PECUNIA S.A</v>
          </cell>
        </row>
        <row r="104">
          <cell r="A104">
            <v>623</v>
          </cell>
          <cell r="B104">
            <v>8</v>
          </cell>
          <cell r="C104" t="str">
            <v>BANCO PANAMERICANO S.A</v>
          </cell>
        </row>
        <row r="105">
          <cell r="A105">
            <v>626</v>
          </cell>
          <cell r="B105">
            <v>2</v>
          </cell>
          <cell r="C105" t="str">
            <v>BANCO FICSA S.A</v>
          </cell>
        </row>
        <row r="106">
          <cell r="A106">
            <v>630</v>
          </cell>
          <cell r="B106">
            <v>0</v>
          </cell>
          <cell r="C106" t="str">
            <v>BANCO INTERCAP S.A</v>
          </cell>
        </row>
        <row r="107">
          <cell r="A107">
            <v>633</v>
          </cell>
          <cell r="B107">
            <v>5</v>
          </cell>
          <cell r="C107" t="str">
            <v>BANCO RENDIMENTO S.A</v>
          </cell>
        </row>
        <row r="108">
          <cell r="A108">
            <v>634</v>
          </cell>
          <cell r="B108">
            <v>3</v>
          </cell>
          <cell r="C108" t="str">
            <v>BANCO TRIANGULO S.A</v>
          </cell>
        </row>
        <row r="109">
          <cell r="A109">
            <v>637</v>
          </cell>
          <cell r="B109">
            <v>8</v>
          </cell>
          <cell r="C109" t="str">
            <v>BANCO SOFISA S.A</v>
          </cell>
        </row>
        <row r="110">
          <cell r="A110">
            <v>643</v>
          </cell>
          <cell r="B110">
            <v>2</v>
          </cell>
          <cell r="C110" t="str">
            <v>BANCO PINE S.A</v>
          </cell>
        </row>
        <row r="111">
          <cell r="A111">
            <v>652</v>
          </cell>
          <cell r="B111">
            <v>1</v>
          </cell>
          <cell r="C111" t="str">
            <v>BANCO ITAÚ HOLDING FINANCEIRA S.A</v>
          </cell>
        </row>
        <row r="112">
          <cell r="A112">
            <v>653</v>
          </cell>
          <cell r="B112" t="str">
            <v>X</v>
          </cell>
          <cell r="C112" t="str">
            <v>BANCO INDUSVAL S.A</v>
          </cell>
        </row>
        <row r="113">
          <cell r="A113">
            <v>654</v>
          </cell>
          <cell r="B113">
            <v>8</v>
          </cell>
          <cell r="C113" t="str">
            <v>BANCO A.J. RENNER S.A</v>
          </cell>
        </row>
        <row r="114">
          <cell r="A114">
            <v>655</v>
          </cell>
          <cell r="B114">
            <v>6</v>
          </cell>
          <cell r="C114" t="str">
            <v>BANCO VOTORANTIM S.A</v>
          </cell>
        </row>
        <row r="115">
          <cell r="A115">
            <v>707</v>
          </cell>
          <cell r="B115">
            <v>2</v>
          </cell>
          <cell r="C115" t="str">
            <v>BANCO DAYCOVAL S.A</v>
          </cell>
        </row>
        <row r="116">
          <cell r="A116">
            <v>719</v>
          </cell>
          <cell r="B116">
            <v>6</v>
          </cell>
          <cell r="C116" t="str">
            <v>BANIF BANCO INTERNACIONAL DO FUNCHAL</v>
          </cell>
        </row>
        <row r="117">
          <cell r="A117">
            <v>735</v>
          </cell>
          <cell r="B117">
            <v>8</v>
          </cell>
          <cell r="C117" t="str">
            <v>BANCO POTTENCIAL S.A</v>
          </cell>
        </row>
        <row r="118">
          <cell r="A118">
            <v>739</v>
          </cell>
          <cell r="B118">
            <v>0</v>
          </cell>
          <cell r="C118" t="str">
            <v>BANCO BGN S.A</v>
          </cell>
        </row>
        <row r="119">
          <cell r="A119">
            <v>740</v>
          </cell>
          <cell r="B119">
            <v>4</v>
          </cell>
          <cell r="C119" t="str">
            <v>BANCO BARCLAYS S.A</v>
          </cell>
        </row>
        <row r="120">
          <cell r="A120">
            <v>741</v>
          </cell>
          <cell r="B120">
            <v>2</v>
          </cell>
          <cell r="C120" t="str">
            <v>BANCO RIBEIRAO PRETO S.A</v>
          </cell>
        </row>
        <row r="121">
          <cell r="A121">
            <v>743</v>
          </cell>
          <cell r="B121">
            <v>9</v>
          </cell>
          <cell r="C121" t="str">
            <v>BANCO SEMEAR S.A .</v>
          </cell>
        </row>
        <row r="122">
          <cell r="A122">
            <v>745</v>
          </cell>
          <cell r="B122">
            <v>5</v>
          </cell>
          <cell r="C122" t="str">
            <v>BANCO CITIBANK S.A</v>
          </cell>
        </row>
        <row r="123">
          <cell r="A123">
            <v>746</v>
          </cell>
          <cell r="B123">
            <v>3</v>
          </cell>
          <cell r="C123" t="str">
            <v>BANCO MODAL S.A</v>
          </cell>
        </row>
        <row r="124">
          <cell r="A124">
            <v>747</v>
          </cell>
          <cell r="B124">
            <v>1</v>
          </cell>
          <cell r="C124" t="str">
            <v>BANCO RABOBANK INTERNATIONAL BRASIL S.A</v>
          </cell>
        </row>
        <row r="125">
          <cell r="A125">
            <v>748</v>
          </cell>
          <cell r="B125" t="str">
            <v>X</v>
          </cell>
          <cell r="C125" t="str">
            <v>BANCO COOPERATIVO SICREDI S.A.- BANSICREDI</v>
          </cell>
        </row>
        <row r="126">
          <cell r="A126">
            <v>751</v>
          </cell>
          <cell r="B126" t="str">
            <v>X</v>
          </cell>
          <cell r="C126" t="str">
            <v>SCOTIABANK BRASIL S.A. BANCO MULTIPLO</v>
          </cell>
        </row>
        <row r="127">
          <cell r="A127">
            <v>752</v>
          </cell>
          <cell r="B127">
            <v>8</v>
          </cell>
          <cell r="C127" t="str">
            <v>BANCO BNP PARIBAS BRASIL S.A</v>
          </cell>
        </row>
        <row r="128">
          <cell r="A128">
            <v>753</v>
          </cell>
          <cell r="B128">
            <v>6</v>
          </cell>
          <cell r="C128" t="str">
            <v>NBC BANK BRASIL S.A . - BANCO MULTIPLO</v>
          </cell>
        </row>
        <row r="129">
          <cell r="A129">
            <v>755</v>
          </cell>
          <cell r="B129">
            <v>2</v>
          </cell>
          <cell r="C129" t="str">
            <v>BANCO OF AMERICA MERRIL LYNCH BANCO</v>
          </cell>
        </row>
        <row r="130">
          <cell r="A130">
            <v>756</v>
          </cell>
          <cell r="B130">
            <v>0</v>
          </cell>
          <cell r="C130" t="str">
            <v>BANCO COOPERATIVO DO BRASIL S.A.</v>
          </cell>
        </row>
        <row r="131">
          <cell r="A131">
            <v>757</v>
          </cell>
          <cell r="B131">
            <v>9</v>
          </cell>
          <cell r="C131" t="str">
            <v>BANCO KEB DO BRASIL S.A</v>
          </cell>
        </row>
      </sheetData>
      <sheetData sheetId="36"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daniel@elofy.com.br"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tabColor rgb="FF0070C0"/>
  </sheetPr>
  <dimension ref="B2:N9"/>
  <sheetViews>
    <sheetView workbookViewId="0">
      <selection activeCell="C7" sqref="C7"/>
    </sheetView>
  </sheetViews>
  <sheetFormatPr defaultColWidth="10" defaultRowHeight="15" x14ac:dyDescent="0.25"/>
  <cols>
    <col min="1" max="2" width="3.85546875" style="36" customWidth="1"/>
    <col min="3" max="3" width="15.28515625" style="36" customWidth="1"/>
    <col min="4" max="4" width="23.42578125" style="36" customWidth="1"/>
    <col min="5" max="5" width="19.85546875" style="36" bestFit="1" customWidth="1"/>
    <col min="6" max="6" width="12.85546875" style="36" bestFit="1" customWidth="1"/>
    <col min="7" max="7" width="13.85546875" style="36" customWidth="1"/>
    <col min="8" max="8" width="15.140625" style="36" customWidth="1"/>
    <col min="9" max="9" width="12.28515625" style="36" customWidth="1"/>
    <col min="10" max="10" width="13.28515625" style="36" customWidth="1"/>
    <col min="11" max="11" width="23.28515625" style="36" bestFit="1" customWidth="1"/>
    <col min="12" max="16384" width="10" style="36"/>
  </cols>
  <sheetData>
    <row r="2" spans="2:14" ht="19.5" x14ac:dyDescent="0.25">
      <c r="C2" s="64"/>
      <c r="D2" s="65" t="s">
        <v>3570</v>
      </c>
      <c r="F2" s="66"/>
    </row>
    <row r="3" spans="2:14" x14ac:dyDescent="0.25">
      <c r="D3" s="67"/>
      <c r="N3" s="68"/>
    </row>
    <row r="4" spans="2:14" ht="19.5" x14ac:dyDescent="0.25">
      <c r="B4" s="69" t="s">
        <v>3572</v>
      </c>
      <c r="C4" s="65"/>
      <c r="N4" s="68"/>
    </row>
    <row r="5" spans="2:14" x14ac:dyDescent="0.25">
      <c r="C5" s="70"/>
      <c r="D5" s="70"/>
      <c r="N5" s="68"/>
    </row>
    <row r="6" spans="2:14" x14ac:dyDescent="0.25">
      <c r="B6" s="71" t="s">
        <v>3571</v>
      </c>
      <c r="C6" s="72"/>
      <c r="D6" s="73"/>
      <c r="E6" s="74"/>
      <c r="N6" s="68"/>
    </row>
    <row r="7" spans="2:14" ht="21" customHeight="1" x14ac:dyDescent="0.25">
      <c r="C7" s="83" t="s">
        <v>3909</v>
      </c>
      <c r="D7" s="75"/>
      <c r="E7" s="70"/>
      <c r="N7" s="68"/>
    </row>
    <row r="8" spans="2:14" ht="21" customHeight="1" x14ac:dyDescent="0.25">
      <c r="C8" s="83" t="s">
        <v>3910</v>
      </c>
      <c r="D8" s="75"/>
      <c r="E8" s="70"/>
      <c r="N8" s="68"/>
    </row>
    <row r="9" spans="2:14" ht="30" customHeight="1" x14ac:dyDescent="0.25">
      <c r="N9" s="68"/>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tabColor rgb="FF7030A0"/>
  </sheetPr>
  <dimension ref="B1:F194"/>
  <sheetViews>
    <sheetView tabSelected="1" topLeftCell="A87" zoomScaleNormal="100" workbookViewId="0">
      <selection activeCell="C199" sqref="C199"/>
    </sheetView>
  </sheetViews>
  <sheetFormatPr defaultColWidth="9.140625" defaultRowHeight="15" x14ac:dyDescent="0.25"/>
  <cols>
    <col min="1" max="1" width="2.140625" style="23" customWidth="1"/>
    <col min="2" max="2" width="50" style="23" customWidth="1"/>
    <col min="3" max="3" width="86.140625" style="23" customWidth="1"/>
    <col min="4" max="4" width="2.28515625" style="23" customWidth="1"/>
    <col min="5" max="16384" width="9.140625" style="23"/>
  </cols>
  <sheetData>
    <row r="1" spans="2:4" ht="6.75" customHeight="1" thickBot="1" x14ac:dyDescent="0.3"/>
    <row r="2" spans="2:4" s="49" customFormat="1" ht="24.95" customHeight="1" thickBot="1" x14ac:dyDescent="0.2">
      <c r="B2" s="97" t="s">
        <v>3548</v>
      </c>
      <c r="C2" s="98"/>
      <c r="D2" s="50"/>
    </row>
    <row r="3" spans="2:4" s="49" customFormat="1" ht="7.5" customHeight="1" thickBot="1" x14ac:dyDescent="0.2">
      <c r="B3" s="51"/>
      <c r="C3" s="52"/>
      <c r="D3" s="50"/>
    </row>
    <row r="4" spans="2:4" s="49" customFormat="1" ht="16.5" customHeight="1" x14ac:dyDescent="0.15">
      <c r="B4" s="53" t="s">
        <v>0</v>
      </c>
      <c r="C4" s="54" t="s">
        <v>37</v>
      </c>
      <c r="D4" s="50"/>
    </row>
    <row r="5" spans="2:4" s="49" customFormat="1" ht="16.5" customHeight="1" thickBot="1" x14ac:dyDescent="0.2">
      <c r="B5" s="55" t="s">
        <v>3549</v>
      </c>
      <c r="C5" s="89" t="s">
        <v>3917</v>
      </c>
      <c r="D5" s="50"/>
    </row>
    <row r="6" spans="2:4" s="49" customFormat="1" ht="7.5" customHeight="1" thickBot="1" x14ac:dyDescent="0.2">
      <c r="B6" s="51"/>
      <c r="C6" s="52"/>
      <c r="D6" s="50"/>
    </row>
    <row r="7" spans="2:4" s="49" customFormat="1" ht="20.45" customHeight="1" x14ac:dyDescent="0.15">
      <c r="B7" s="57" t="s">
        <v>3550</v>
      </c>
      <c r="C7" s="90" t="s">
        <v>3918</v>
      </c>
      <c r="D7" s="50"/>
    </row>
    <row r="8" spans="2:4" s="49" customFormat="1" ht="18" customHeight="1" thickBot="1" x14ac:dyDescent="0.2">
      <c r="B8" s="57" t="s">
        <v>3551</v>
      </c>
      <c r="C8" s="89" t="s">
        <v>3918</v>
      </c>
      <c r="D8" s="50"/>
    </row>
    <row r="9" spans="2:4" s="49" customFormat="1" ht="7.5" customHeight="1" thickBot="1" x14ac:dyDescent="0.2">
      <c r="B9" s="51"/>
      <c r="C9" s="52"/>
      <c r="D9" s="50"/>
    </row>
    <row r="10" spans="2:4" s="49" customFormat="1" ht="16.5" customHeight="1" x14ac:dyDescent="0.15">
      <c r="B10" s="57" t="s">
        <v>3384</v>
      </c>
      <c r="C10" s="54" t="s">
        <v>3842</v>
      </c>
      <c r="D10" s="50"/>
    </row>
    <row r="11" spans="2:4" s="49" customFormat="1" ht="16.5" customHeight="1" x14ac:dyDescent="0.15">
      <c r="B11" s="57" t="s">
        <v>3552</v>
      </c>
      <c r="C11" s="91" t="s">
        <v>3919</v>
      </c>
      <c r="D11" s="50"/>
    </row>
    <row r="12" spans="2:4" s="49" customFormat="1" ht="16.5" customHeight="1" x14ac:dyDescent="0.15">
      <c r="B12" s="57" t="s">
        <v>3396</v>
      </c>
      <c r="C12" s="107">
        <v>729</v>
      </c>
      <c r="D12" s="50"/>
    </row>
    <row r="13" spans="2:4" s="49" customFormat="1" ht="16.5" customHeight="1" x14ac:dyDescent="0.15">
      <c r="B13" s="57" t="s">
        <v>3553</v>
      </c>
      <c r="C13" s="108">
        <v>605</v>
      </c>
      <c r="D13" s="50"/>
    </row>
    <row r="14" spans="2:4" s="49" customFormat="1" ht="16.5" customHeight="1" x14ac:dyDescent="0.15">
      <c r="B14" s="57" t="s">
        <v>3385</v>
      </c>
      <c r="C14" s="58"/>
      <c r="D14" s="50"/>
    </row>
    <row r="15" spans="2:4" s="49" customFormat="1" ht="16.5" customHeight="1" x14ac:dyDescent="0.15">
      <c r="B15" s="57" t="s">
        <v>3387</v>
      </c>
      <c r="C15" s="58" t="s">
        <v>3920</v>
      </c>
      <c r="D15" s="50"/>
    </row>
    <row r="16" spans="2:4" s="49" customFormat="1" ht="16.5" customHeight="1" x14ac:dyDescent="0.15">
      <c r="B16" s="57" t="s">
        <v>3386</v>
      </c>
      <c r="C16" s="58">
        <v>605</v>
      </c>
      <c r="D16" s="50"/>
    </row>
    <row r="17" spans="2:4" s="49" customFormat="1" ht="16.5" customHeight="1" x14ac:dyDescent="0.15">
      <c r="B17" s="57" t="s">
        <v>3388</v>
      </c>
      <c r="C17" s="91" t="s">
        <v>3921</v>
      </c>
      <c r="D17" s="50"/>
    </row>
    <row r="18" spans="2:4" s="49" customFormat="1" ht="16.5" customHeight="1" x14ac:dyDescent="0.15">
      <c r="B18" s="57" t="s">
        <v>3554</v>
      </c>
      <c r="C18" s="91" t="s">
        <v>3922</v>
      </c>
      <c r="D18" s="50"/>
    </row>
    <row r="19" spans="2:4" s="49" customFormat="1" ht="16.5" customHeight="1" x14ac:dyDescent="0.15">
      <c r="B19" s="57" t="s">
        <v>3555</v>
      </c>
      <c r="C19" s="91" t="s">
        <v>699</v>
      </c>
      <c r="D19" s="50"/>
    </row>
    <row r="20" spans="2:4" s="49" customFormat="1" ht="16.149999999999999" customHeight="1" x14ac:dyDescent="0.15">
      <c r="B20" s="57" t="s">
        <v>3556</v>
      </c>
      <c r="C20" s="107">
        <v>90620001</v>
      </c>
      <c r="D20" s="50"/>
    </row>
    <row r="21" spans="2:4" s="49" customFormat="1" ht="16.5" customHeight="1" thickBot="1" x14ac:dyDescent="0.2">
      <c r="B21" s="57" t="s">
        <v>3389</v>
      </c>
      <c r="C21" s="91" t="s">
        <v>3573</v>
      </c>
      <c r="D21" s="50"/>
    </row>
    <row r="22" spans="2:4" s="49" customFormat="1" ht="16.5" hidden="1" customHeight="1" x14ac:dyDescent="0.15">
      <c r="B22" s="57" t="s">
        <v>3558</v>
      </c>
      <c r="C22" s="58"/>
      <c r="D22" s="50"/>
    </row>
    <row r="23" spans="2:4" s="49" customFormat="1" ht="16.5" hidden="1" customHeight="1" thickBot="1" x14ac:dyDescent="0.2">
      <c r="B23" s="57" t="s">
        <v>3559</v>
      </c>
      <c r="C23" s="56"/>
      <c r="D23" s="50"/>
    </row>
    <row r="24" spans="2:4" s="49" customFormat="1" ht="7.5" hidden="1" customHeight="1" thickBot="1" x14ac:dyDescent="0.2">
      <c r="B24" s="51"/>
      <c r="C24" s="52"/>
      <c r="D24" s="50"/>
    </row>
    <row r="25" spans="2:4" s="49" customFormat="1" ht="16.5" hidden="1" customHeight="1" x14ac:dyDescent="0.15">
      <c r="B25" s="57" t="s">
        <v>3845</v>
      </c>
      <c r="C25" s="54"/>
      <c r="D25" s="50"/>
    </row>
    <row r="26" spans="2:4" s="49" customFormat="1" ht="16.5" hidden="1" customHeight="1" x14ac:dyDescent="0.15">
      <c r="B26" s="57" t="s">
        <v>3846</v>
      </c>
      <c r="C26" s="58"/>
      <c r="D26" s="50"/>
    </row>
    <row r="27" spans="2:4" s="49" customFormat="1" ht="16.5" hidden="1" customHeight="1" x14ac:dyDescent="0.15">
      <c r="B27" s="57" t="s">
        <v>3847</v>
      </c>
      <c r="C27" s="58"/>
      <c r="D27" s="50"/>
    </row>
    <row r="28" spans="2:4" s="49" customFormat="1" ht="16.5" hidden="1" customHeight="1" x14ac:dyDescent="0.15">
      <c r="B28" s="57" t="s">
        <v>3848</v>
      </c>
      <c r="C28" s="58"/>
      <c r="D28" s="50"/>
    </row>
    <row r="29" spans="2:4" s="49" customFormat="1" ht="16.5" hidden="1" customHeight="1" x14ac:dyDescent="0.15">
      <c r="B29" s="57" t="s">
        <v>3849</v>
      </c>
      <c r="C29" s="58"/>
      <c r="D29" s="50"/>
    </row>
    <row r="30" spans="2:4" s="49" customFormat="1" ht="16.5" hidden="1" customHeight="1" x14ac:dyDescent="0.15">
      <c r="B30" s="57" t="s">
        <v>3850</v>
      </c>
      <c r="C30" s="58"/>
      <c r="D30" s="50"/>
    </row>
    <row r="31" spans="2:4" s="49" customFormat="1" ht="16.5" hidden="1" customHeight="1" x14ac:dyDescent="0.15">
      <c r="B31" s="57" t="s">
        <v>3851</v>
      </c>
      <c r="C31" s="58"/>
      <c r="D31" s="50"/>
    </row>
    <row r="32" spans="2:4" s="49" customFormat="1" ht="16.5" hidden="1" customHeight="1" x14ac:dyDescent="0.15">
      <c r="B32" s="57" t="s">
        <v>3852</v>
      </c>
      <c r="C32" s="58"/>
      <c r="D32" s="50"/>
    </row>
    <row r="33" spans="2:4" s="49" customFormat="1" ht="16.5" hidden="1" customHeight="1" x14ac:dyDescent="0.15">
      <c r="B33" s="57" t="s">
        <v>3853</v>
      </c>
      <c r="C33" s="58"/>
      <c r="D33" s="50"/>
    </row>
    <row r="34" spans="2:4" s="49" customFormat="1" ht="16.149999999999999" hidden="1" customHeight="1" x14ac:dyDescent="0.15">
      <c r="B34" s="57" t="s">
        <v>3854</v>
      </c>
      <c r="C34" s="58"/>
      <c r="D34" s="50"/>
    </row>
    <row r="35" spans="2:4" s="49" customFormat="1" ht="16.149999999999999" hidden="1" customHeight="1" x14ac:dyDescent="0.15">
      <c r="B35" s="57" t="s">
        <v>3855</v>
      </c>
      <c r="C35" s="58"/>
      <c r="D35" s="50"/>
    </row>
    <row r="36" spans="2:4" s="49" customFormat="1" ht="16.5" hidden="1" customHeight="1" x14ac:dyDescent="0.15">
      <c r="B36" s="57" t="s">
        <v>3856</v>
      </c>
      <c r="C36" s="58"/>
      <c r="D36" s="50"/>
    </row>
    <row r="37" spans="2:4" s="49" customFormat="1" ht="16.5" hidden="1" customHeight="1" thickBot="1" x14ac:dyDescent="0.2">
      <c r="B37" s="57" t="s">
        <v>3854</v>
      </c>
      <c r="C37" s="58"/>
      <c r="D37" s="50"/>
    </row>
    <row r="38" spans="2:4" s="49" customFormat="1" ht="16.5" hidden="1" customHeight="1" x14ac:dyDescent="0.15">
      <c r="B38" s="57" t="s">
        <v>3857</v>
      </c>
      <c r="C38" s="58"/>
      <c r="D38" s="50"/>
    </row>
    <row r="39" spans="2:4" s="49" customFormat="1" ht="16.5" hidden="1" customHeight="1" thickBot="1" x14ac:dyDescent="0.2">
      <c r="B39" s="57" t="s">
        <v>3858</v>
      </c>
      <c r="C39" s="56"/>
      <c r="D39" s="50"/>
    </row>
    <row r="40" spans="2:4" s="49" customFormat="1" ht="7.5" customHeight="1" thickBot="1" x14ac:dyDescent="0.2">
      <c r="B40" s="51"/>
      <c r="C40" s="52"/>
      <c r="D40" s="50"/>
    </row>
    <row r="41" spans="2:4" s="49" customFormat="1" ht="16.5" hidden="1" customHeight="1" thickBot="1" x14ac:dyDescent="0.2">
      <c r="B41" s="57" t="s">
        <v>3557</v>
      </c>
      <c r="C41" s="58"/>
      <c r="D41" s="50"/>
    </row>
    <row r="42" spans="2:4" s="49" customFormat="1" ht="7.5" hidden="1" customHeight="1" thickBot="1" x14ac:dyDescent="0.2">
      <c r="B42" s="51"/>
      <c r="C42" s="52"/>
      <c r="D42" s="50"/>
    </row>
    <row r="43" spans="2:4" s="49" customFormat="1" ht="16.5" customHeight="1" x14ac:dyDescent="0.15">
      <c r="B43" s="57" t="s">
        <v>3390</v>
      </c>
      <c r="C43" s="91" t="s">
        <v>3923</v>
      </c>
      <c r="D43" s="50"/>
    </row>
    <row r="44" spans="2:4" s="49" customFormat="1" ht="16.5" hidden="1" customHeight="1" x14ac:dyDescent="0.15">
      <c r="B44" s="57" t="s">
        <v>3391</v>
      </c>
      <c r="C44" s="58"/>
      <c r="D44" s="50"/>
    </row>
    <row r="45" spans="2:4" s="49" customFormat="1" ht="16.5" hidden="1" customHeight="1" x14ac:dyDescent="0.15">
      <c r="B45" s="57" t="s">
        <v>3911</v>
      </c>
      <c r="C45" s="58"/>
      <c r="D45" s="50"/>
    </row>
    <row r="46" spans="2:4" s="49" customFormat="1" ht="16.5" customHeight="1" x14ac:dyDescent="0.15">
      <c r="B46" s="57" t="s">
        <v>3392</v>
      </c>
      <c r="C46" s="91" t="s">
        <v>3924</v>
      </c>
      <c r="D46" s="50"/>
    </row>
    <row r="47" spans="2:4" s="49" customFormat="1" ht="16.5" hidden="1" customHeight="1" x14ac:dyDescent="0.15">
      <c r="B47" s="57" t="s">
        <v>3911</v>
      </c>
      <c r="C47" s="58"/>
      <c r="D47" s="50"/>
    </row>
    <row r="48" spans="2:4" s="49" customFormat="1" ht="16.5" hidden="1" customHeight="1" x14ac:dyDescent="0.15">
      <c r="B48" s="57" t="s">
        <v>3393</v>
      </c>
      <c r="C48" s="58"/>
      <c r="D48" s="50"/>
    </row>
    <row r="49" spans="2:4" s="49" customFormat="1" ht="16.5" hidden="1" customHeight="1" x14ac:dyDescent="0.15">
      <c r="B49" s="57" t="s">
        <v>3391</v>
      </c>
      <c r="C49" s="58"/>
      <c r="D49" s="50"/>
    </row>
    <row r="50" spans="2:4" s="49" customFormat="1" ht="16.5" hidden="1" customHeight="1" x14ac:dyDescent="0.15">
      <c r="B50" s="57" t="s">
        <v>3911</v>
      </c>
      <c r="C50" s="58"/>
      <c r="D50" s="50"/>
    </row>
    <row r="51" spans="2:4" s="49" customFormat="1" ht="16.5" customHeight="1" x14ac:dyDescent="0.25">
      <c r="B51" s="57" t="s">
        <v>3394</v>
      </c>
      <c r="C51" s="109" t="s">
        <v>3925</v>
      </c>
      <c r="D51" s="50"/>
    </row>
    <row r="52" spans="2:4" s="49" customFormat="1" ht="16.5" hidden="1" customHeight="1" thickBot="1" x14ac:dyDescent="0.2">
      <c r="B52" s="57" t="s">
        <v>3560</v>
      </c>
      <c r="C52" s="56"/>
      <c r="D52" s="50"/>
    </row>
    <row r="53" spans="2:4" s="49" customFormat="1" ht="7.5" hidden="1" customHeight="1" thickBot="1" x14ac:dyDescent="0.2">
      <c r="B53" s="51"/>
      <c r="C53" s="52"/>
      <c r="D53" s="50"/>
    </row>
    <row r="54" spans="2:4" s="49" customFormat="1" ht="16.5" hidden="1" customHeight="1" x14ac:dyDescent="0.15">
      <c r="B54" s="57" t="s">
        <v>3859</v>
      </c>
      <c r="C54" s="58"/>
      <c r="D54" s="50"/>
    </row>
    <row r="55" spans="2:4" s="49" customFormat="1" ht="16.5" hidden="1" customHeight="1" x14ac:dyDescent="0.15">
      <c r="B55" s="57" t="s">
        <v>3860</v>
      </c>
      <c r="C55" s="58"/>
      <c r="D55" s="50"/>
    </row>
    <row r="56" spans="2:4" s="49" customFormat="1" ht="16.5" hidden="1" customHeight="1" x14ac:dyDescent="0.15">
      <c r="B56" s="57" t="s">
        <v>3912</v>
      </c>
      <c r="C56" s="58"/>
      <c r="D56" s="50"/>
    </row>
    <row r="57" spans="2:4" s="49" customFormat="1" ht="16.5" hidden="1" customHeight="1" x14ac:dyDescent="0.15">
      <c r="B57" s="57" t="s">
        <v>3861</v>
      </c>
      <c r="C57" s="58"/>
      <c r="D57" s="50"/>
    </row>
    <row r="58" spans="2:4" s="49" customFormat="1" ht="16.5" hidden="1" customHeight="1" x14ac:dyDescent="0.15">
      <c r="B58" s="57" t="s">
        <v>3912</v>
      </c>
      <c r="C58" s="58"/>
      <c r="D58" s="50"/>
    </row>
    <row r="59" spans="2:4" s="49" customFormat="1" ht="16.5" hidden="1" customHeight="1" x14ac:dyDescent="0.15">
      <c r="B59" s="57" t="s">
        <v>3862</v>
      </c>
      <c r="C59" s="58"/>
      <c r="D59" s="50"/>
    </row>
    <row r="60" spans="2:4" s="49" customFormat="1" ht="16.5" hidden="1" customHeight="1" x14ac:dyDescent="0.15">
      <c r="B60" s="57" t="s">
        <v>3860</v>
      </c>
      <c r="C60" s="58"/>
      <c r="D60" s="50"/>
    </row>
    <row r="61" spans="2:4" s="49" customFormat="1" ht="16.5" hidden="1" customHeight="1" x14ac:dyDescent="0.15">
      <c r="B61" s="57" t="s">
        <v>3912</v>
      </c>
      <c r="C61" s="58"/>
      <c r="D61" s="50"/>
    </row>
    <row r="62" spans="2:4" s="49" customFormat="1" ht="16.5" hidden="1" customHeight="1" x14ac:dyDescent="0.15">
      <c r="B62" s="57" t="s">
        <v>3863</v>
      </c>
      <c r="C62" s="58"/>
      <c r="D62" s="50"/>
    </row>
    <row r="63" spans="2:4" s="49" customFormat="1" ht="16.5" hidden="1" customHeight="1" thickBot="1" x14ac:dyDescent="0.2">
      <c r="B63" s="57" t="s">
        <v>3864</v>
      </c>
      <c r="C63" s="56"/>
      <c r="D63" s="50"/>
    </row>
    <row r="64" spans="2:4" ht="15.75" thickBot="1" x14ac:dyDescent="0.3"/>
    <row r="65" spans="2:4" s="49" customFormat="1" ht="24.95" customHeight="1" thickBot="1" x14ac:dyDescent="0.2">
      <c r="B65" s="97" t="s">
        <v>3561</v>
      </c>
      <c r="C65" s="98"/>
      <c r="D65" s="50"/>
    </row>
    <row r="66" spans="2:4" s="49" customFormat="1" ht="7.5" customHeight="1" thickBot="1" x14ac:dyDescent="0.2">
      <c r="B66" s="51"/>
      <c r="C66" s="52"/>
      <c r="D66" s="50"/>
    </row>
    <row r="67" spans="2:4" s="49" customFormat="1" ht="16.5" customHeight="1" thickBot="1" x14ac:dyDescent="0.2">
      <c r="B67" s="57" t="s">
        <v>3562</v>
      </c>
      <c r="C67" s="91"/>
      <c r="D67" s="50"/>
    </row>
    <row r="68" spans="2:4" s="49" customFormat="1" ht="16.5" hidden="1" customHeight="1" thickBot="1" x14ac:dyDescent="0.2">
      <c r="B68" s="57" t="s">
        <v>3563</v>
      </c>
      <c r="C68" s="56"/>
      <c r="D68" s="50"/>
    </row>
    <row r="69" spans="2:4" s="49" customFormat="1" ht="7.5" customHeight="1" thickBot="1" x14ac:dyDescent="0.2">
      <c r="B69" s="51"/>
      <c r="C69" s="52"/>
      <c r="D69" s="50"/>
    </row>
    <row r="70" spans="2:4" s="49" customFormat="1" ht="16.5" customHeight="1" x14ac:dyDescent="0.15">
      <c r="B70" s="57" t="s">
        <v>3913</v>
      </c>
      <c r="C70" s="58" t="s">
        <v>72</v>
      </c>
      <c r="D70" s="50"/>
    </row>
    <row r="71" spans="2:4" s="49" customFormat="1" ht="16.5" customHeight="1" x14ac:dyDescent="0.15">
      <c r="B71" s="57" t="s">
        <v>3396</v>
      </c>
      <c r="C71" s="91"/>
      <c r="D71" s="50"/>
    </row>
    <row r="72" spans="2:4" s="49" customFormat="1" ht="16.5" hidden="1" customHeight="1" x14ac:dyDescent="0.15">
      <c r="B72" s="57" t="s">
        <v>3913</v>
      </c>
      <c r="C72" s="58"/>
      <c r="D72" s="50"/>
    </row>
    <row r="73" spans="2:4" s="49" customFormat="1" ht="16.5" hidden="1" customHeight="1" x14ac:dyDescent="0.15">
      <c r="B73" s="57" t="s">
        <v>3397</v>
      </c>
      <c r="C73" s="58"/>
      <c r="D73" s="50"/>
    </row>
    <row r="74" spans="2:4" s="49" customFormat="1" ht="16.5" customHeight="1" x14ac:dyDescent="0.15">
      <c r="B74" s="84" t="s">
        <v>3395</v>
      </c>
      <c r="C74" s="85" t="s">
        <v>194</v>
      </c>
      <c r="D74" s="50"/>
    </row>
    <row r="75" spans="2:4" s="49" customFormat="1" ht="16.5" customHeight="1" x14ac:dyDescent="0.15">
      <c r="B75" s="57" t="s">
        <v>3397</v>
      </c>
      <c r="C75" s="91"/>
      <c r="D75" s="50"/>
    </row>
    <row r="76" spans="2:4" s="49" customFormat="1" ht="16.5" customHeight="1" x14ac:dyDescent="0.15">
      <c r="B76" s="84" t="s">
        <v>3395</v>
      </c>
      <c r="C76" s="85" t="s">
        <v>243</v>
      </c>
      <c r="D76" s="50"/>
    </row>
    <row r="77" spans="2:4" s="49" customFormat="1" ht="16.5" customHeight="1" thickBot="1" x14ac:dyDescent="0.2">
      <c r="B77" s="57" t="s">
        <v>3397</v>
      </c>
      <c r="C77" s="89"/>
      <c r="D77" s="50"/>
    </row>
    <row r="78" spans="2:4" s="49" customFormat="1" ht="7.5" hidden="1" customHeight="1" thickBot="1" x14ac:dyDescent="0.2">
      <c r="B78" s="51"/>
      <c r="C78" s="52"/>
      <c r="D78" s="50"/>
    </row>
    <row r="79" spans="2:4" s="49" customFormat="1" ht="16.5" hidden="1" customHeight="1" x14ac:dyDescent="0.15">
      <c r="B79" s="57" t="s">
        <v>3398</v>
      </c>
      <c r="C79" s="58"/>
      <c r="D79" s="50"/>
    </row>
    <row r="80" spans="2:4" s="49" customFormat="1" ht="7.5" hidden="1" customHeight="1" thickBot="1" x14ac:dyDescent="0.2">
      <c r="B80" s="59"/>
      <c r="C80" s="60"/>
      <c r="D80" s="50"/>
    </row>
    <row r="81" spans="2:5" ht="9" customHeight="1" thickBot="1" x14ac:dyDescent="0.3"/>
    <row r="82" spans="2:5" s="49" customFormat="1" ht="24.95" customHeight="1" thickBot="1" x14ac:dyDescent="0.3">
      <c r="B82" s="97" t="s">
        <v>3564</v>
      </c>
      <c r="C82" s="98"/>
      <c r="D82" s="50"/>
      <c r="E82" s="23"/>
    </row>
    <row r="83" spans="2:5" s="49" customFormat="1" ht="7.5" customHeight="1" thickBot="1" x14ac:dyDescent="0.2">
      <c r="B83" s="51"/>
      <c r="C83" s="52"/>
      <c r="D83" s="50"/>
    </row>
    <row r="84" spans="2:5" s="49" customFormat="1" ht="16.5" customHeight="1" x14ac:dyDescent="0.15">
      <c r="B84" s="57" t="s">
        <v>3389</v>
      </c>
      <c r="C84" s="91" t="s">
        <v>3573</v>
      </c>
      <c r="D84" s="50"/>
    </row>
    <row r="85" spans="2:5" s="49" customFormat="1" ht="16.5" customHeight="1" x14ac:dyDescent="0.15">
      <c r="B85" s="57" t="s">
        <v>3399</v>
      </c>
      <c r="C85" s="92">
        <v>341</v>
      </c>
      <c r="D85" s="50"/>
    </row>
    <row r="86" spans="2:5" s="49" customFormat="1" ht="16.5" hidden="1" customHeight="1" x14ac:dyDescent="0.15">
      <c r="B86" s="62" t="s">
        <v>3565</v>
      </c>
      <c r="C86" s="63">
        <f>VLOOKUP(C85,xuxu,2,0)</f>
        <v>7</v>
      </c>
      <c r="D86" s="50"/>
    </row>
    <row r="87" spans="2:5" s="49" customFormat="1" ht="16.5" customHeight="1" x14ac:dyDescent="0.15">
      <c r="B87" s="57" t="s">
        <v>3400</v>
      </c>
      <c r="C87" s="92">
        <v>579</v>
      </c>
      <c r="D87" s="50"/>
    </row>
    <row r="88" spans="2:5" s="49" customFormat="1" ht="16.5" customHeight="1" x14ac:dyDescent="0.15">
      <c r="B88" s="57" t="s">
        <v>3566</v>
      </c>
      <c r="C88" s="92"/>
      <c r="D88" s="50"/>
    </row>
    <row r="89" spans="2:5" s="49" customFormat="1" ht="16.5" customHeight="1" x14ac:dyDescent="0.15">
      <c r="B89" s="57" t="s">
        <v>3401</v>
      </c>
      <c r="C89" s="92">
        <v>15883</v>
      </c>
      <c r="D89" s="50"/>
    </row>
    <row r="90" spans="2:5" s="49" customFormat="1" ht="16.5" customHeight="1" x14ac:dyDescent="0.15">
      <c r="B90" s="57" t="s">
        <v>3567</v>
      </c>
      <c r="C90" s="92">
        <v>3</v>
      </c>
      <c r="D90" s="50"/>
    </row>
    <row r="91" spans="2:5" s="49" customFormat="1" ht="16.5" hidden="1" customHeight="1" x14ac:dyDescent="0.15">
      <c r="B91" s="62" t="s">
        <v>3402</v>
      </c>
      <c r="C91" s="63" t="str">
        <f>C85&amp;C86&amp;C87&amp;C88</f>
        <v>3417579</v>
      </c>
      <c r="D91" s="50"/>
    </row>
    <row r="92" spans="2:5" s="49" customFormat="1" ht="16.5" hidden="1" customHeight="1" x14ac:dyDescent="0.15">
      <c r="B92" s="62" t="s">
        <v>3568</v>
      </c>
      <c r="C92" s="63">
        <f>C88</f>
        <v>0</v>
      </c>
      <c r="D92" s="50"/>
    </row>
    <row r="93" spans="2:5" s="49" customFormat="1" ht="16.5" hidden="1" customHeight="1" x14ac:dyDescent="0.15">
      <c r="B93" s="62" t="s">
        <v>3569</v>
      </c>
      <c r="C93" s="63" t="str">
        <f>VLOOKUP(C85,xuxu,3,0)</f>
        <v>ITAÚ UNIBANCO S.A</v>
      </c>
      <c r="D93" s="50"/>
    </row>
    <row r="94" spans="2:5" s="49" customFormat="1" ht="7.5" hidden="1" customHeight="1" thickBot="1" x14ac:dyDescent="0.2">
      <c r="B94" s="59"/>
      <c r="C94" s="60"/>
      <c r="D94" s="50"/>
    </row>
    <row r="95" spans="2:5" s="49" customFormat="1" ht="16.5" hidden="1" customHeight="1" x14ac:dyDescent="0.15">
      <c r="B95" s="57" t="s">
        <v>3389</v>
      </c>
      <c r="C95" s="58"/>
      <c r="D95" s="50"/>
    </row>
    <row r="96" spans="2:5" s="49" customFormat="1" ht="16.5" hidden="1" customHeight="1" x14ac:dyDescent="0.15">
      <c r="B96" s="57" t="s">
        <v>3399</v>
      </c>
      <c r="C96" s="61"/>
      <c r="D96" s="50"/>
    </row>
    <row r="97" spans="2:6" s="49" customFormat="1" ht="16.5" hidden="1" customHeight="1" x14ac:dyDescent="0.15">
      <c r="B97" s="62" t="s">
        <v>3565</v>
      </c>
      <c r="C97" s="63" t="e">
        <f>VLOOKUP(C96,xuxu,2,0)</f>
        <v>#N/A</v>
      </c>
      <c r="D97" s="50"/>
    </row>
    <row r="98" spans="2:6" s="49" customFormat="1" ht="16.5" hidden="1" customHeight="1" x14ac:dyDescent="0.15">
      <c r="B98" s="57" t="s">
        <v>3400</v>
      </c>
      <c r="C98" s="61"/>
      <c r="D98" s="50"/>
    </row>
    <row r="99" spans="2:6" s="49" customFormat="1" ht="16.5" hidden="1" customHeight="1" x14ac:dyDescent="0.15">
      <c r="B99" s="57" t="s">
        <v>3566</v>
      </c>
      <c r="C99" s="61"/>
      <c r="D99" s="50"/>
    </row>
    <row r="100" spans="2:6" s="49" customFormat="1" ht="16.5" hidden="1" customHeight="1" x14ac:dyDescent="0.15">
      <c r="B100" s="57" t="s">
        <v>3401</v>
      </c>
      <c r="C100" s="61"/>
      <c r="D100" s="50"/>
    </row>
    <row r="101" spans="2:6" s="49" customFormat="1" ht="16.5" hidden="1" customHeight="1" x14ac:dyDescent="0.15">
      <c r="B101" s="57" t="s">
        <v>3567</v>
      </c>
      <c r="C101" s="61"/>
      <c r="D101" s="50"/>
    </row>
    <row r="102" spans="2:6" s="49" customFormat="1" ht="16.5" hidden="1" customHeight="1" x14ac:dyDescent="0.15">
      <c r="B102" s="62" t="s">
        <v>3402</v>
      </c>
      <c r="C102" s="63" t="e">
        <f>C96&amp;C97&amp;C98&amp;C99</f>
        <v>#N/A</v>
      </c>
      <c r="D102" s="50"/>
    </row>
    <row r="103" spans="2:6" s="49" customFormat="1" ht="16.5" hidden="1" customHeight="1" x14ac:dyDescent="0.15">
      <c r="B103" s="62" t="s">
        <v>3568</v>
      </c>
      <c r="C103" s="63">
        <f>C99</f>
        <v>0</v>
      </c>
      <c r="D103" s="50"/>
    </row>
    <row r="104" spans="2:6" s="49" customFormat="1" ht="16.5" hidden="1" customHeight="1" x14ac:dyDescent="0.15">
      <c r="B104" s="62" t="s">
        <v>3569</v>
      </c>
      <c r="C104" s="63" t="e">
        <f>VLOOKUP(C96,xuxu,3,0)</f>
        <v>#N/A</v>
      </c>
      <c r="D104" s="50"/>
    </row>
    <row r="105" spans="2:6" s="49" customFormat="1" ht="7.5" customHeight="1" thickBot="1" x14ac:dyDescent="0.2">
      <c r="B105" s="59"/>
      <c r="C105" s="60"/>
      <c r="D105" s="50"/>
    </row>
    <row r="106" spans="2:6" ht="7.5" customHeight="1" thickBot="1" x14ac:dyDescent="0.3">
      <c r="B106" s="42"/>
      <c r="C106" s="39"/>
    </row>
    <row r="107" spans="2:6" ht="24.95" customHeight="1" thickBot="1" x14ac:dyDescent="0.3">
      <c r="B107" s="95" t="s">
        <v>3914</v>
      </c>
      <c r="C107" s="96"/>
    </row>
    <row r="108" spans="2:6" ht="16.5" hidden="1" customHeight="1" x14ac:dyDescent="0.25">
      <c r="B108" s="26" t="s">
        <v>3403</v>
      </c>
      <c r="C108" s="40"/>
      <c r="F108" s="78"/>
    </row>
    <row r="109" spans="2:6" ht="16.5" customHeight="1" x14ac:dyDescent="0.25">
      <c r="B109" s="38" t="s">
        <v>3404</v>
      </c>
      <c r="C109" s="93" t="s">
        <v>208</v>
      </c>
      <c r="F109" s="78"/>
    </row>
    <row r="110" spans="2:6" ht="8.25" customHeight="1" thickBot="1" x14ac:dyDescent="0.3">
      <c r="F110" s="79"/>
    </row>
    <row r="111" spans="2:6" ht="24.95" customHeight="1" thickBot="1" x14ac:dyDescent="0.3">
      <c r="B111" s="95" t="s">
        <v>3915</v>
      </c>
      <c r="C111" s="96"/>
      <c r="F111" s="79"/>
    </row>
    <row r="112" spans="2:6" ht="16.5" customHeight="1" x14ac:dyDescent="0.25">
      <c r="B112" s="38" t="s">
        <v>3865</v>
      </c>
      <c r="C112" s="93" t="s">
        <v>3183</v>
      </c>
      <c r="F112" s="79"/>
    </row>
    <row r="113" spans="2:6" ht="16.5" customHeight="1" x14ac:dyDescent="0.25">
      <c r="B113" s="38" t="s">
        <v>3866</v>
      </c>
      <c r="C113" s="93" t="s">
        <v>835</v>
      </c>
      <c r="F113" s="78"/>
    </row>
    <row r="114" spans="2:6" ht="16.5" customHeight="1" x14ac:dyDescent="0.25">
      <c r="B114" s="38" t="s">
        <v>3405</v>
      </c>
      <c r="C114" s="93" t="s">
        <v>85</v>
      </c>
    </row>
    <row r="115" spans="2:6" ht="16.5" customHeight="1" x14ac:dyDescent="0.25">
      <c r="B115" s="38" t="s">
        <v>3406</v>
      </c>
      <c r="C115" s="93" t="s">
        <v>152</v>
      </c>
    </row>
    <row r="116" spans="2:6" ht="11.25" hidden="1" customHeight="1" thickBot="1" x14ac:dyDescent="0.3"/>
    <row r="117" spans="2:6" ht="24.95" hidden="1" customHeight="1" thickBot="1" x14ac:dyDescent="0.3">
      <c r="B117" s="95" t="s">
        <v>3416</v>
      </c>
      <c r="C117" s="96"/>
    </row>
    <row r="118" spans="2:6" ht="16.5" hidden="1" customHeight="1" x14ac:dyDescent="0.25">
      <c r="B118" s="26" t="s">
        <v>3407</v>
      </c>
      <c r="C118" s="37"/>
    </row>
    <row r="119" spans="2:6" ht="16.5" hidden="1" customHeight="1" x14ac:dyDescent="0.25">
      <c r="B119" s="28" t="s">
        <v>3408</v>
      </c>
      <c r="C119" s="27"/>
    </row>
    <row r="120" spans="2:6" ht="16.5" hidden="1" customHeight="1" x14ac:dyDescent="0.25">
      <c r="B120" s="80" t="s">
        <v>3409</v>
      </c>
      <c r="C120" s="86" t="s">
        <v>79</v>
      </c>
    </row>
    <row r="121" spans="2:6" ht="16.5" hidden="1" customHeight="1" x14ac:dyDescent="0.25">
      <c r="B121" s="80" t="s">
        <v>3410</v>
      </c>
      <c r="C121" s="81"/>
    </row>
    <row r="122" spans="2:6" ht="16.5" hidden="1" customHeight="1" x14ac:dyDescent="0.25">
      <c r="B122" s="88" t="s">
        <v>3411</v>
      </c>
      <c r="C122" s="86" t="s">
        <v>3916</v>
      </c>
    </row>
    <row r="123" spans="2:6" ht="16.5" hidden="1" customHeight="1" x14ac:dyDescent="0.25">
      <c r="B123" s="29" t="s">
        <v>3412</v>
      </c>
      <c r="C123" s="28"/>
      <c r="F123" s="82"/>
    </row>
    <row r="124" spans="2:6" ht="9" customHeight="1" thickBot="1" x14ac:dyDescent="0.3"/>
    <row r="125" spans="2:6" ht="24.95" customHeight="1" thickBot="1" x14ac:dyDescent="0.3">
      <c r="B125" s="95" t="s">
        <v>3417</v>
      </c>
      <c r="C125" s="96"/>
    </row>
    <row r="126" spans="2:6" ht="16.5" customHeight="1" x14ac:dyDescent="0.25">
      <c r="B126" s="28" t="s">
        <v>3413</v>
      </c>
      <c r="C126" s="25" t="s">
        <v>365</v>
      </c>
    </row>
    <row r="127" spans="2:6" ht="16.5" customHeight="1" x14ac:dyDescent="0.25">
      <c r="B127" s="27" t="s">
        <v>3414</v>
      </c>
      <c r="C127" s="94" t="s">
        <v>105</v>
      </c>
    </row>
    <row r="128" spans="2:6" ht="16.5" hidden="1" customHeight="1" x14ac:dyDescent="0.25">
      <c r="B128" s="81" t="s">
        <v>3415</v>
      </c>
      <c r="C128" s="87" t="s">
        <v>108</v>
      </c>
    </row>
    <row r="129" spans="2:6" ht="11.25" hidden="1" customHeight="1" thickBot="1" x14ac:dyDescent="0.3"/>
    <row r="130" spans="2:6" ht="24.95" hidden="1" customHeight="1" thickBot="1" x14ac:dyDescent="0.3">
      <c r="B130" s="95" t="s">
        <v>3419</v>
      </c>
      <c r="C130" s="96"/>
    </row>
    <row r="131" spans="2:6" ht="16.5" hidden="1" customHeight="1" x14ac:dyDescent="0.25">
      <c r="B131" s="26" t="s">
        <v>3407</v>
      </c>
      <c r="C131" s="37"/>
    </row>
    <row r="132" spans="2:6" ht="16.5" hidden="1" customHeight="1" x14ac:dyDescent="0.25">
      <c r="B132" s="28" t="s">
        <v>3408</v>
      </c>
      <c r="C132" s="27"/>
    </row>
    <row r="133" spans="2:6" ht="16.5" hidden="1" customHeight="1" x14ac:dyDescent="0.25">
      <c r="B133" s="80" t="s">
        <v>3409</v>
      </c>
      <c r="C133" s="86" t="s">
        <v>79</v>
      </c>
    </row>
    <row r="134" spans="2:6" ht="16.5" hidden="1" customHeight="1" x14ac:dyDescent="0.25">
      <c r="B134" s="80" t="s">
        <v>3410</v>
      </c>
      <c r="C134" s="81"/>
    </row>
    <row r="135" spans="2:6" ht="16.5" hidden="1" customHeight="1" x14ac:dyDescent="0.25">
      <c r="B135" s="88" t="s">
        <v>3411</v>
      </c>
      <c r="C135" s="86" t="s">
        <v>3916</v>
      </c>
    </row>
    <row r="136" spans="2:6" ht="16.5" hidden="1" customHeight="1" x14ac:dyDescent="0.25">
      <c r="B136" s="29" t="s">
        <v>3412</v>
      </c>
      <c r="C136" s="28"/>
      <c r="F136" s="82"/>
    </row>
    <row r="137" spans="2:6" ht="9" hidden="1" customHeight="1" thickBot="1" x14ac:dyDescent="0.3"/>
    <row r="138" spans="2:6" ht="24.95" hidden="1" customHeight="1" thickBot="1" x14ac:dyDescent="0.3">
      <c r="B138" s="95" t="s">
        <v>3418</v>
      </c>
      <c r="C138" s="96"/>
    </row>
    <row r="139" spans="2:6" ht="16.5" hidden="1" customHeight="1" x14ac:dyDescent="0.25">
      <c r="B139" s="28" t="s">
        <v>3413</v>
      </c>
      <c r="C139" s="25"/>
    </row>
    <row r="140" spans="2:6" ht="16.5" hidden="1" customHeight="1" x14ac:dyDescent="0.25">
      <c r="B140" s="27" t="s">
        <v>3414</v>
      </c>
      <c r="C140" s="25"/>
    </row>
    <row r="141" spans="2:6" ht="16.5" hidden="1" customHeight="1" x14ac:dyDescent="0.25">
      <c r="B141" s="81" t="s">
        <v>3415</v>
      </c>
      <c r="C141" s="87" t="s">
        <v>108</v>
      </c>
    </row>
    <row r="142" spans="2:6" ht="11.25" hidden="1" customHeight="1" thickBot="1" x14ac:dyDescent="0.3"/>
    <row r="143" spans="2:6" ht="24.95" hidden="1" customHeight="1" thickBot="1" x14ac:dyDescent="0.3">
      <c r="B143" s="95" t="s">
        <v>3421</v>
      </c>
      <c r="C143" s="96"/>
    </row>
    <row r="144" spans="2:6" ht="16.5" hidden="1" customHeight="1" x14ac:dyDescent="0.25">
      <c r="B144" s="26" t="s">
        <v>3407</v>
      </c>
      <c r="C144" s="37"/>
    </row>
    <row r="145" spans="2:6" ht="16.5" hidden="1" customHeight="1" x14ac:dyDescent="0.25">
      <c r="B145" s="28" t="s">
        <v>3408</v>
      </c>
      <c r="C145" s="27"/>
    </row>
    <row r="146" spans="2:6" ht="16.5" hidden="1" customHeight="1" x14ac:dyDescent="0.25">
      <c r="B146" s="80" t="s">
        <v>3409</v>
      </c>
      <c r="C146" s="86" t="s">
        <v>79</v>
      </c>
    </row>
    <row r="147" spans="2:6" ht="16.5" hidden="1" customHeight="1" x14ac:dyDescent="0.25">
      <c r="B147" s="80" t="s">
        <v>3410</v>
      </c>
      <c r="C147" s="81"/>
    </row>
    <row r="148" spans="2:6" ht="16.5" hidden="1" customHeight="1" x14ac:dyDescent="0.25">
      <c r="B148" s="88" t="s">
        <v>3411</v>
      </c>
      <c r="C148" s="86" t="s">
        <v>3916</v>
      </c>
    </row>
    <row r="149" spans="2:6" ht="16.5" hidden="1" customHeight="1" x14ac:dyDescent="0.25">
      <c r="B149" s="29" t="s">
        <v>3412</v>
      </c>
      <c r="C149" s="28"/>
      <c r="F149" s="82"/>
    </row>
    <row r="150" spans="2:6" ht="9" hidden="1" customHeight="1" thickBot="1" x14ac:dyDescent="0.3"/>
    <row r="151" spans="2:6" ht="24.95" hidden="1" customHeight="1" thickBot="1" x14ac:dyDescent="0.3">
      <c r="B151" s="95" t="s">
        <v>3420</v>
      </c>
      <c r="C151" s="96"/>
    </row>
    <row r="152" spans="2:6" ht="16.5" hidden="1" customHeight="1" x14ac:dyDescent="0.25">
      <c r="B152" s="28" t="s">
        <v>3413</v>
      </c>
      <c r="C152" s="25"/>
    </row>
    <row r="153" spans="2:6" ht="16.5" hidden="1" customHeight="1" x14ac:dyDescent="0.25">
      <c r="B153" s="27" t="s">
        <v>3414</v>
      </c>
      <c r="C153" s="25"/>
    </row>
    <row r="154" spans="2:6" ht="16.5" hidden="1" customHeight="1" x14ac:dyDescent="0.25">
      <c r="B154" s="81" t="s">
        <v>3415</v>
      </c>
      <c r="C154" s="87" t="s">
        <v>108</v>
      </c>
    </row>
    <row r="155" spans="2:6" ht="11.25" hidden="1" customHeight="1" thickBot="1" x14ac:dyDescent="0.3"/>
    <row r="156" spans="2:6" ht="24.95" hidden="1" customHeight="1" thickBot="1" x14ac:dyDescent="0.3">
      <c r="B156" s="95" t="s">
        <v>3422</v>
      </c>
      <c r="C156" s="96"/>
    </row>
    <row r="157" spans="2:6" ht="16.5" hidden="1" customHeight="1" x14ac:dyDescent="0.25">
      <c r="B157" s="26" t="s">
        <v>3407</v>
      </c>
      <c r="C157" s="37"/>
    </row>
    <row r="158" spans="2:6" ht="16.5" hidden="1" customHeight="1" x14ac:dyDescent="0.25">
      <c r="B158" s="28" t="s">
        <v>3408</v>
      </c>
      <c r="C158" s="27"/>
    </row>
    <row r="159" spans="2:6" ht="16.5" hidden="1" customHeight="1" x14ac:dyDescent="0.25">
      <c r="B159" s="80" t="s">
        <v>3409</v>
      </c>
      <c r="C159" s="86" t="s">
        <v>79</v>
      </c>
    </row>
    <row r="160" spans="2:6" ht="16.5" hidden="1" customHeight="1" x14ac:dyDescent="0.25">
      <c r="B160" s="80" t="s">
        <v>3410</v>
      </c>
      <c r="C160" s="81"/>
    </row>
    <row r="161" spans="2:6" ht="16.5" hidden="1" customHeight="1" x14ac:dyDescent="0.25">
      <c r="B161" s="88" t="s">
        <v>3411</v>
      </c>
      <c r="C161" s="86" t="s">
        <v>3916</v>
      </c>
    </row>
    <row r="162" spans="2:6" ht="16.5" hidden="1" customHeight="1" x14ac:dyDescent="0.25">
      <c r="B162" s="29" t="s">
        <v>3412</v>
      </c>
      <c r="C162" s="28"/>
      <c r="F162" s="82"/>
    </row>
    <row r="163" spans="2:6" ht="9" hidden="1" customHeight="1" thickBot="1" x14ac:dyDescent="0.3"/>
    <row r="164" spans="2:6" ht="24.95" hidden="1" customHeight="1" thickBot="1" x14ac:dyDescent="0.3">
      <c r="B164" s="95" t="s">
        <v>3423</v>
      </c>
      <c r="C164" s="96"/>
    </row>
    <row r="165" spans="2:6" ht="16.5" hidden="1" customHeight="1" x14ac:dyDescent="0.25">
      <c r="B165" s="28" t="s">
        <v>3413</v>
      </c>
      <c r="C165" s="25"/>
    </row>
    <row r="166" spans="2:6" ht="16.5" hidden="1" customHeight="1" x14ac:dyDescent="0.25">
      <c r="B166" s="27" t="s">
        <v>3414</v>
      </c>
      <c r="C166" s="25"/>
    </row>
    <row r="167" spans="2:6" ht="16.5" hidden="1" customHeight="1" x14ac:dyDescent="0.25">
      <c r="B167" s="81" t="s">
        <v>3415</v>
      </c>
      <c r="C167" s="87" t="s">
        <v>108</v>
      </c>
    </row>
    <row r="168" spans="2:6" ht="11.25" hidden="1" customHeight="1" x14ac:dyDescent="0.25"/>
    <row r="169" spans="2:6" ht="8.25" hidden="1" customHeight="1" thickBot="1" x14ac:dyDescent="0.3"/>
    <row r="170" spans="2:6" ht="24.95" hidden="1" customHeight="1" thickBot="1" x14ac:dyDescent="0.3">
      <c r="B170" s="95" t="s">
        <v>3424</v>
      </c>
      <c r="C170" s="96"/>
    </row>
    <row r="171" spans="2:6" hidden="1" x14ac:dyDescent="0.25">
      <c r="B171" s="30" t="s">
        <v>3425</v>
      </c>
      <c r="C171" s="43" t="s">
        <v>112</v>
      </c>
    </row>
    <row r="172" spans="2:6" ht="6" hidden="1" customHeight="1" x14ac:dyDescent="0.25">
      <c r="B172" s="31"/>
      <c r="C172" s="32"/>
    </row>
    <row r="173" spans="2:6" hidden="1" x14ac:dyDescent="0.25">
      <c r="B173" s="29" t="s">
        <v>3426</v>
      </c>
      <c r="C173" s="25"/>
    </row>
    <row r="174" spans="2:6" hidden="1" x14ac:dyDescent="0.25">
      <c r="B174" s="29" t="s">
        <v>3427</v>
      </c>
      <c r="C174" s="25"/>
    </row>
    <row r="175" spans="2:6" hidden="1" x14ac:dyDescent="0.25">
      <c r="B175" s="29" t="s">
        <v>3428</v>
      </c>
      <c r="C175" s="25"/>
    </row>
    <row r="176" spans="2:6" hidden="1" x14ac:dyDescent="0.25">
      <c r="B176" s="29" t="s">
        <v>3429</v>
      </c>
      <c r="C176" s="25"/>
    </row>
    <row r="177" spans="2:3" ht="8.25" hidden="1" customHeight="1" x14ac:dyDescent="0.25"/>
    <row r="178" spans="2:3" ht="16.5" hidden="1" customHeight="1" x14ac:dyDescent="0.25">
      <c r="B178" s="28" t="s">
        <v>3430</v>
      </c>
      <c r="C178" s="25"/>
    </row>
    <row r="179" spans="2:3" hidden="1" x14ac:dyDescent="0.25"/>
    <row r="180" spans="2:3" hidden="1" x14ac:dyDescent="0.25"/>
    <row r="181" spans="2:3" hidden="1" x14ac:dyDescent="0.25"/>
    <row r="182" spans="2:3" hidden="1" x14ac:dyDescent="0.25"/>
    <row r="183" spans="2:3" hidden="1" x14ac:dyDescent="0.25"/>
    <row r="184" spans="2:3" hidden="1" x14ac:dyDescent="0.25"/>
    <row r="185" spans="2:3" hidden="1" x14ac:dyDescent="0.25"/>
    <row r="186" spans="2:3" hidden="1" x14ac:dyDescent="0.25"/>
    <row r="187" spans="2:3" hidden="1" x14ac:dyDescent="0.25"/>
    <row r="188" spans="2:3" hidden="1" x14ac:dyDescent="0.25"/>
    <row r="189" spans="2:3" hidden="1" x14ac:dyDescent="0.25"/>
    <row r="190" spans="2:3" hidden="1" x14ac:dyDescent="0.25"/>
    <row r="191" spans="2:3" hidden="1" x14ac:dyDescent="0.25"/>
    <row r="192" spans="2:3" hidden="1" x14ac:dyDescent="0.25"/>
    <row r="193" hidden="1" x14ac:dyDescent="0.25"/>
    <row r="194" hidden="1" x14ac:dyDescent="0.25"/>
  </sheetData>
  <sheetProtection insertRows="0"/>
  <mergeCells count="14">
    <mergeCell ref="B2:C2"/>
    <mergeCell ref="B82:C82"/>
    <mergeCell ref="B107:C107"/>
    <mergeCell ref="B111:C111"/>
    <mergeCell ref="B117:C117"/>
    <mergeCell ref="B65:C65"/>
    <mergeCell ref="B125:C125"/>
    <mergeCell ref="B156:C156"/>
    <mergeCell ref="B164:C164"/>
    <mergeCell ref="B170:C170"/>
    <mergeCell ref="B143:C143"/>
    <mergeCell ref="B151:C151"/>
    <mergeCell ref="B130:C130"/>
    <mergeCell ref="B138:C138"/>
  </mergeCells>
  <hyperlinks>
    <hyperlink ref="C51" r:id="rId1" xr:uid="{94B74208-8615-469C-9F7F-A1DDA1BAECC8}"/>
  </hyperlinks>
  <pageMargins left="0.511811024" right="0.511811024" top="0.78740157499999996" bottom="0.78740157499999996" header="0.31496062000000002" footer="0.31496062000000002"/>
  <pageSetup paperSize="9" orientation="portrait" verticalDpi="0" r:id="rId2"/>
  <drawing r:id="rId3"/>
  <legacyDrawing r:id="rId4"/>
  <extLst>
    <ext xmlns:x14="http://schemas.microsoft.com/office/spreadsheetml/2009/9/main" uri="{CCE6A557-97BC-4b89-ADB6-D9C93CAAB3DF}">
      <x14:dataValidations xmlns:xm="http://schemas.microsoft.com/office/excel/2006/main" count="22">
        <x14:dataValidation type="list" allowBlank="1" showInputMessage="1" showErrorMessage="1" xr:uid="{00000000-0002-0000-0100-000000000000}">
          <x14:formula1>
            <xm:f>'Lista de Dados'!$R$2:$R$501</xm:f>
          </x14:formula1>
          <xm:sqref>C112</xm:sqref>
        </x14:dataValidation>
        <x14:dataValidation type="list" allowBlank="1" showInputMessage="1" showErrorMessage="1" xr:uid="{00000000-0002-0000-0100-000001000000}">
          <x14:formula1>
            <xm:f>'Lista de Dados'!$S$2:$S$67</xm:f>
          </x14:formula1>
          <xm:sqref>C113</xm:sqref>
        </x14:dataValidation>
        <x14:dataValidation type="list" allowBlank="1" showInputMessage="1" showErrorMessage="1" xr:uid="{00000000-0002-0000-0100-000002000000}">
          <x14:formula1>
            <xm:f>'Lista de Dados'!$T$2:$T$4</xm:f>
          </x14:formula1>
          <xm:sqref>C114</xm:sqref>
        </x14:dataValidation>
        <x14:dataValidation type="list" allowBlank="1" showInputMessage="1" showErrorMessage="1" xr:uid="{00000000-0002-0000-0100-000003000000}">
          <x14:formula1>
            <xm:f>'Lista de Dados'!$V$2:$V$4</xm:f>
          </x14:formula1>
          <xm:sqref>C115</xm:sqref>
        </x14:dataValidation>
        <x14:dataValidation type="list" allowBlank="1" showInputMessage="1" showErrorMessage="1" xr:uid="{00000000-0002-0000-0100-000004000000}">
          <x14:formula1>
            <xm:f>'Lista de Dados'!$X$2:$X$6</xm:f>
          </x14:formula1>
          <xm:sqref>C109</xm:sqref>
        </x14:dataValidation>
        <x14:dataValidation type="list" allowBlank="1" showInputMessage="1" showErrorMessage="1" xr:uid="{00000000-0002-0000-0100-000005000000}">
          <x14:formula1>
            <xm:f>'Lista de Dados'!$AC$2:$AC$12</xm:f>
          </x14:formula1>
          <xm:sqref>C119 C158 C145 C132</xm:sqref>
        </x14:dataValidation>
        <x14:dataValidation type="list" allowBlank="1" showInputMessage="1" showErrorMessage="1" xr:uid="{00000000-0002-0000-0100-000006000000}">
          <x14:formula1>
            <xm:f>'Lista de Dados'!$AE$2:$AE$15</xm:f>
          </x14:formula1>
          <xm:sqref>C121 C160 C147 C134</xm:sqref>
        </x14:dataValidation>
        <x14:dataValidation type="list" allowBlank="1" showInputMessage="1" showErrorMessage="1" xr:uid="{00000000-0002-0000-0100-000007000000}">
          <x14:formula1>
            <xm:f>'Lista de Dados'!$AN$2:$AN$136</xm:f>
          </x14:formula1>
          <xm:sqref>C126 C174 C165 C152 C139</xm:sqref>
        </x14:dataValidation>
        <x14:dataValidation type="list" allowBlank="1" showInputMessage="1" showErrorMessage="1" xr:uid="{00000000-0002-0000-0100-000008000000}">
          <x14:formula1>
            <xm:f>'Lista de Dados'!$AQ$2:$AQ$18</xm:f>
          </x14:formula1>
          <xm:sqref>C127 C166 C153 C140</xm:sqref>
        </x14:dataValidation>
        <x14:dataValidation type="list" allowBlank="1" showInputMessage="1" showErrorMessage="1" xr:uid="{00000000-0002-0000-0100-000009000000}">
          <x14:formula1>
            <xm:f>'Lista de Dados'!$AT$2</xm:f>
          </x14:formula1>
          <xm:sqref>C141 C154 C128 C167</xm:sqref>
        </x14:dataValidation>
        <x14:dataValidation type="list" allowBlank="1" showInputMessage="1" showErrorMessage="1" xr:uid="{00000000-0002-0000-0100-00000A000000}">
          <x14:formula1>
            <xm:f>'Lista de Dados'!$AZ$2:$AZ$214</xm:f>
          </x14:formula1>
          <xm:sqref>C173</xm:sqref>
        </x14:dataValidation>
        <x14:dataValidation type="list" allowBlank="1" showInputMessage="1" showErrorMessage="1" xr:uid="{00000000-0002-0000-0100-00000B000000}">
          <x14:formula1>
            <xm:f>'Lista de Dados'!$BA$2:$BA$16</xm:f>
          </x14:formula1>
          <xm:sqref>C175</xm:sqref>
        </x14:dataValidation>
        <x14:dataValidation type="list" allowBlank="1" showInputMessage="1" showErrorMessage="1" xr:uid="{00000000-0002-0000-0100-00000C000000}">
          <x14:formula1>
            <xm:f>'Lista de Dados'!$BF$2:$BF$3</xm:f>
          </x14:formula1>
          <xm:sqref>C178</xm:sqref>
        </x14:dataValidation>
        <x14:dataValidation type="list" allowBlank="1" showInputMessage="1" showErrorMessage="1" xr:uid="{00000000-0002-0000-0100-00000D000000}">
          <x14:formula1>
            <xm:f>'C:\Financeiro\Cadastro\[20170104_CLIENTE_SAP_FormCad_v2.xlsx]Lista de Dados'!#REF!</xm:f>
          </x14:formula1>
          <xm:sqref>C25</xm:sqref>
        </x14:dataValidation>
        <x14:dataValidation type="list" allowBlank="1" showInputMessage="1" showErrorMessage="1" xr:uid="{00000000-0002-0000-0100-00000E000000}">
          <x14:formula1>
            <xm:f>'Lista de Dados'!$CB$2:$CB$257</xm:f>
          </x14:formula1>
          <xm:sqref>C47 C50 C56 C58 C61 C45 C84 C95 C21</xm:sqref>
        </x14:dataValidation>
        <x14:dataValidation type="list" allowBlank="1" showInputMessage="1" showErrorMessage="1" xr:uid="{00000000-0002-0000-0100-00000F000000}">
          <x14:formula1>
            <xm:f>'Lista de Dados'!$E$2:$E$5</xm:f>
          </x14:formula1>
          <xm:sqref>C10</xm:sqref>
        </x14:dataValidation>
        <x14:dataValidation type="list" allowBlank="1" showInputMessage="1" showErrorMessage="1" xr:uid="{00000000-0002-0000-0100-000010000000}">
          <x14:formula1>
            <xm:f>'Lista de Dados'!$AM$2:$AM$12</xm:f>
          </x14:formula1>
          <xm:sqref>C118 C157 C144 C131</xm:sqref>
        </x14:dataValidation>
        <x14:dataValidation type="list" allowBlank="1" showInputMessage="1" showErrorMessage="1" xr:uid="{00000000-0002-0000-0100-000011000000}">
          <x14:formula1>
            <xm:f>'Lista de Dados'!$F$2:$F$3</xm:f>
          </x14:formula1>
          <xm:sqref>C70 C72</xm:sqref>
        </x14:dataValidation>
        <x14:dataValidation type="list" allowBlank="1" showInputMessage="1" showErrorMessage="1" xr:uid="{00000000-0002-0000-0100-000012000000}">
          <x14:formula1>
            <xm:f>'Lista de Dados'!$F$2:$F$5</xm:f>
          </x14:formula1>
          <xm:sqref>C74 C76</xm:sqref>
        </x14:dataValidation>
        <x14:dataValidation type="list" allowBlank="1" showInputMessage="1" showErrorMessage="1" xr:uid="{00000000-0002-0000-0100-000013000000}">
          <x14:formula1>
            <xm:f>'Lista de Dados'!$G$2:$G$13</xm:f>
          </x14:formula1>
          <xm:sqref>C79</xm:sqref>
        </x14:dataValidation>
        <x14:dataValidation type="list" allowBlank="1" showInputMessage="1" showErrorMessage="1" xr:uid="{00000000-0002-0000-0100-000014000000}">
          <x14:formula1>
            <xm:f>'Lista de Dados'!$BS$2:$BS$28</xm:f>
          </x14:formula1>
          <xm:sqref>C19</xm:sqref>
        </x14:dataValidation>
        <x14:dataValidation type="list" allowBlank="1" showInputMessage="1" showErrorMessage="1" xr:uid="{00000000-0002-0000-0100-000015000000}">
          <x14:formula1>
            <xm:f>'Lista de Dados'!$C$2:$C$4</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4">
    <tabColor rgb="FF00B050"/>
  </sheetPr>
  <dimension ref="B1:C41"/>
  <sheetViews>
    <sheetView workbookViewId="0">
      <selection activeCell="D5" sqref="D5"/>
    </sheetView>
  </sheetViews>
  <sheetFormatPr defaultColWidth="9.140625" defaultRowHeight="15" x14ac:dyDescent="0.25"/>
  <cols>
    <col min="1" max="1" width="2.28515625" style="23" customWidth="1"/>
    <col min="2" max="2" width="84.28515625" style="23" customWidth="1"/>
    <col min="3" max="3" width="50.28515625" style="23" customWidth="1"/>
    <col min="4" max="16384" width="9.140625" style="23"/>
  </cols>
  <sheetData>
    <row r="1" spans="2:3" ht="6.75" customHeight="1" thickBot="1" x14ac:dyDescent="0.3"/>
    <row r="2" spans="2:3" ht="24.95" customHeight="1" thickBot="1" x14ac:dyDescent="0.3">
      <c r="B2" s="95" t="s">
        <v>3431</v>
      </c>
      <c r="C2" s="96"/>
    </row>
    <row r="3" spans="2:3" ht="19.5" customHeight="1" x14ac:dyDescent="0.25">
      <c r="B3" s="99" t="s">
        <v>3547</v>
      </c>
      <c r="C3" s="100"/>
    </row>
    <row r="4" spans="2:3" ht="16.5" customHeight="1" x14ac:dyDescent="0.25">
      <c r="B4" s="44" t="s">
        <v>3432</v>
      </c>
      <c r="C4" s="45">
        <v>0</v>
      </c>
    </row>
    <row r="5" spans="2:3" ht="16.5" customHeight="1" x14ac:dyDescent="0.25">
      <c r="B5" s="46" t="s">
        <v>3533</v>
      </c>
      <c r="C5" s="47"/>
    </row>
    <row r="6" spans="2:3" ht="16.5" customHeight="1" x14ac:dyDescent="0.25">
      <c r="B6" s="46" t="s">
        <v>3532</v>
      </c>
      <c r="C6" s="47"/>
    </row>
    <row r="7" spans="2:3" ht="16.5" customHeight="1" x14ac:dyDescent="0.25">
      <c r="B7" s="46" t="s">
        <v>3534</v>
      </c>
      <c r="C7" s="47"/>
    </row>
    <row r="8" spans="2:3" ht="16.5" customHeight="1" x14ac:dyDescent="0.25">
      <c r="B8" s="46" t="s">
        <v>3535</v>
      </c>
      <c r="C8" s="47"/>
    </row>
    <row r="9" spans="2:3" ht="16.5" customHeight="1" x14ac:dyDescent="0.25">
      <c r="B9" s="46" t="s">
        <v>3536</v>
      </c>
      <c r="C9" s="47"/>
    </row>
    <row r="10" spans="2:3" ht="16.5" customHeight="1" x14ac:dyDescent="0.25">
      <c r="B10" s="46" t="s">
        <v>3867</v>
      </c>
      <c r="C10" s="48"/>
    </row>
    <row r="11" spans="2:3" ht="16.5" customHeight="1" x14ac:dyDescent="0.25">
      <c r="B11" s="46" t="s">
        <v>3868</v>
      </c>
      <c r="C11" s="48"/>
    </row>
    <row r="12" spans="2:3" ht="16.5" customHeight="1" x14ac:dyDescent="0.25">
      <c r="B12" s="46" t="s">
        <v>3869</v>
      </c>
      <c r="C12" s="48"/>
    </row>
    <row r="13" spans="2:3" ht="16.5" customHeight="1" x14ac:dyDescent="0.25">
      <c r="B13" s="46" t="s">
        <v>3870</v>
      </c>
      <c r="C13" s="48"/>
    </row>
    <row r="14" spans="2:3" ht="16.5" customHeight="1" x14ac:dyDescent="0.25">
      <c r="B14" s="46" t="s">
        <v>3871</v>
      </c>
      <c r="C14" s="48"/>
    </row>
    <row r="15" spans="2:3" ht="16.5" customHeight="1" x14ac:dyDescent="0.25">
      <c r="B15" s="46" t="s">
        <v>3872</v>
      </c>
      <c r="C15" s="48"/>
    </row>
    <row r="16" spans="2:3" ht="16.5" customHeight="1" x14ac:dyDescent="0.25">
      <c r="B16" s="46" t="s">
        <v>3873</v>
      </c>
      <c r="C16" s="48"/>
    </row>
    <row r="17" spans="2:3" ht="16.5" customHeight="1" x14ac:dyDescent="0.25">
      <c r="B17" s="46" t="s">
        <v>3874</v>
      </c>
      <c r="C17" s="48"/>
    </row>
    <row r="18" spans="2:3" ht="16.5" customHeight="1" x14ac:dyDescent="0.25">
      <c r="B18" s="46" t="s">
        <v>3875</v>
      </c>
      <c r="C18" s="48"/>
    </row>
    <row r="19" spans="2:3" ht="16.5" customHeight="1" x14ac:dyDescent="0.25">
      <c r="B19" s="46" t="s">
        <v>3876</v>
      </c>
      <c r="C19" s="48"/>
    </row>
    <row r="20" spans="2:3" ht="16.5" customHeight="1" x14ac:dyDescent="0.25">
      <c r="B20" s="46" t="s">
        <v>3877</v>
      </c>
      <c r="C20" s="48"/>
    </row>
    <row r="21" spans="2:3" ht="16.5" customHeight="1" x14ac:dyDescent="0.25">
      <c r="B21" s="46" t="s">
        <v>3878</v>
      </c>
      <c r="C21" s="48"/>
    </row>
    <row r="22" spans="2:3" ht="16.5" customHeight="1" x14ac:dyDescent="0.25">
      <c r="B22" s="46" t="s">
        <v>3879</v>
      </c>
      <c r="C22" s="48"/>
    </row>
    <row r="23" spans="2:3" ht="16.5" customHeight="1" x14ac:dyDescent="0.25">
      <c r="B23" s="46" t="s">
        <v>3880</v>
      </c>
      <c r="C23" s="48"/>
    </row>
    <row r="24" spans="2:3" ht="16.5" customHeight="1" x14ac:dyDescent="0.25">
      <c r="B24" s="46" t="s">
        <v>3881</v>
      </c>
      <c r="C24" s="48"/>
    </row>
    <row r="25" spans="2:3" ht="16.5" customHeight="1" x14ac:dyDescent="0.25">
      <c r="B25" s="46" t="s">
        <v>3882</v>
      </c>
      <c r="C25" s="48"/>
    </row>
    <row r="26" spans="2:3" ht="16.5" customHeight="1" x14ac:dyDescent="0.25">
      <c r="B26" s="46" t="s">
        <v>3883</v>
      </c>
      <c r="C26" s="48"/>
    </row>
    <row r="27" spans="2:3" ht="16.5" customHeight="1" x14ac:dyDescent="0.25">
      <c r="B27" s="46" t="s">
        <v>3884</v>
      </c>
      <c r="C27" s="48"/>
    </row>
    <row r="28" spans="2:3" ht="16.5" customHeight="1" x14ac:dyDescent="0.25">
      <c r="B28" s="46" t="s">
        <v>3885</v>
      </c>
      <c r="C28" s="48"/>
    </row>
    <row r="29" spans="2:3" ht="16.5" customHeight="1" x14ac:dyDescent="0.25">
      <c r="B29" s="46" t="s">
        <v>3886</v>
      </c>
      <c r="C29" s="48"/>
    </row>
    <row r="30" spans="2:3" ht="16.5" customHeight="1" x14ac:dyDescent="0.25">
      <c r="B30" s="46" t="s">
        <v>3887</v>
      </c>
      <c r="C30" s="48"/>
    </row>
    <row r="31" spans="2:3" ht="16.5" customHeight="1" x14ac:dyDescent="0.25">
      <c r="B31" s="46" t="s">
        <v>3888</v>
      </c>
      <c r="C31" s="48"/>
    </row>
    <row r="32" spans="2:3" ht="16.5" customHeight="1" x14ac:dyDescent="0.25">
      <c r="B32" s="46" t="s">
        <v>3889</v>
      </c>
      <c r="C32" s="48"/>
    </row>
    <row r="33" spans="2:3" ht="16.5" customHeight="1" x14ac:dyDescent="0.25">
      <c r="B33" s="46" t="s">
        <v>3890</v>
      </c>
      <c r="C33" s="48"/>
    </row>
    <row r="34" spans="2:3" ht="16.5" customHeight="1" x14ac:dyDescent="0.25">
      <c r="B34" s="46" t="s">
        <v>3891</v>
      </c>
      <c r="C34" s="48"/>
    </row>
    <row r="35" spans="2:3" ht="16.5" customHeight="1" x14ac:dyDescent="0.25">
      <c r="B35" s="46" t="s">
        <v>3892</v>
      </c>
      <c r="C35" s="48"/>
    </row>
    <row r="36" spans="2:3" ht="16.5" customHeight="1" x14ac:dyDescent="0.25">
      <c r="B36" s="46" t="s">
        <v>3893</v>
      </c>
      <c r="C36" s="48"/>
    </row>
    <row r="37" spans="2:3" ht="16.5" customHeight="1" x14ac:dyDescent="0.25">
      <c r="B37" s="46" t="s">
        <v>3894</v>
      </c>
      <c r="C37" s="48"/>
    </row>
    <row r="38" spans="2:3" ht="16.5" customHeight="1" x14ac:dyDescent="0.25">
      <c r="B38" s="46" t="s">
        <v>3895</v>
      </c>
      <c r="C38" s="48"/>
    </row>
    <row r="39" spans="2:3" ht="16.5" customHeight="1" x14ac:dyDescent="0.25">
      <c r="B39" s="46" t="s">
        <v>3896</v>
      </c>
      <c r="C39" s="48"/>
    </row>
    <row r="40" spans="2:3" ht="16.5" customHeight="1" x14ac:dyDescent="0.25">
      <c r="B40" s="46" t="s">
        <v>3897</v>
      </c>
      <c r="C40" s="48"/>
    </row>
    <row r="41" spans="2:3" ht="16.5" customHeight="1" x14ac:dyDescent="0.25">
      <c r="B41" s="46" t="s">
        <v>3898</v>
      </c>
      <c r="C41" s="48"/>
    </row>
  </sheetData>
  <sheetProtection insertRows="0"/>
  <mergeCells count="2">
    <mergeCell ref="B2:C2"/>
    <mergeCell ref="B3:C3"/>
  </mergeCells>
  <pageMargins left="0.511811024" right="0.511811024" top="0.78740157499999996" bottom="0.78740157499999996" header="0.31496062000000002" footer="0.31496062000000002"/>
  <pageSetup paperSize="9" orientation="portrait" verticalDpi="0"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'Lista de Dados'!$A$2:$A$3</xm:f>
          </x14:formula1>
          <xm:sqref>C10:C41</xm:sqref>
        </x14:dataValidation>
        <x14:dataValidation type="list" allowBlank="1" showInputMessage="1" showErrorMessage="1" xr:uid="{00000000-0002-0000-0200-000001000000}">
          <x14:formula1>
            <xm:f>'Lista de Dados'!$BU$2:$BU$5</xm:f>
          </x14:formula1>
          <xm:sqref>C5</xm:sqref>
        </x14:dataValidation>
        <x14:dataValidation type="list" allowBlank="1" showInputMessage="1" showErrorMessage="1" xr:uid="{00000000-0002-0000-0200-000002000000}">
          <x14:formula1>
            <xm:f>'Lista de Dados'!$BV$2:$BV$20</xm:f>
          </x14:formula1>
          <xm:sqref>C6</xm:sqref>
        </x14:dataValidation>
        <x14:dataValidation type="list" allowBlank="1" showInputMessage="1" showErrorMessage="1" xr:uid="{00000000-0002-0000-0200-000003000000}">
          <x14:formula1>
            <xm:f>'Lista de Dados'!$BW$2:$BW$23</xm:f>
          </x14:formula1>
          <xm:sqref>C7</xm:sqref>
        </x14:dataValidation>
        <x14:dataValidation type="list" allowBlank="1" showInputMessage="1" showErrorMessage="1" xr:uid="{00000000-0002-0000-0200-000004000000}">
          <x14:formula1>
            <xm:f>'Lista de Dados'!$BX$2:$BX$23</xm:f>
          </x14:formula1>
          <xm:sqref>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3">
    <tabColor rgb="FF7030A0"/>
  </sheetPr>
  <dimension ref="B1:C23"/>
  <sheetViews>
    <sheetView workbookViewId="0">
      <selection activeCell="D4" sqref="D4"/>
    </sheetView>
  </sheetViews>
  <sheetFormatPr defaultColWidth="9.140625" defaultRowHeight="15" x14ac:dyDescent="0.25"/>
  <cols>
    <col min="1" max="1" width="1.7109375" style="23" customWidth="1"/>
    <col min="2" max="2" width="44" style="23" customWidth="1"/>
    <col min="3" max="3" width="59.85546875" style="23" customWidth="1"/>
    <col min="4" max="16384" width="9.140625" style="23"/>
  </cols>
  <sheetData>
    <row r="1" spans="2:3" ht="9.75" customHeight="1" thickBot="1" x14ac:dyDescent="0.3"/>
    <row r="2" spans="2:3" ht="24.95" customHeight="1" thickBot="1" x14ac:dyDescent="0.3">
      <c r="B2" s="95" t="s">
        <v>3433</v>
      </c>
      <c r="C2" s="96"/>
    </row>
    <row r="3" spans="2:3" ht="17.25" customHeight="1" x14ac:dyDescent="0.25">
      <c r="B3" s="101" t="s">
        <v>3547</v>
      </c>
      <c r="C3" s="102"/>
    </row>
    <row r="4" spans="2:3" x14ac:dyDescent="0.25">
      <c r="B4" s="24" t="s">
        <v>3439</v>
      </c>
      <c r="C4" s="25"/>
    </row>
    <row r="5" spans="2:3" x14ac:dyDescent="0.25">
      <c r="B5" s="24" t="s">
        <v>3435</v>
      </c>
      <c r="C5" s="25"/>
    </row>
    <row r="6" spans="2:3" x14ac:dyDescent="0.25">
      <c r="B6" s="24" t="s">
        <v>3546</v>
      </c>
      <c r="C6" s="25"/>
    </row>
    <row r="7" spans="2:3" ht="16.5" customHeight="1" x14ac:dyDescent="0.25">
      <c r="B7" s="24" t="s">
        <v>3441</v>
      </c>
      <c r="C7" s="25"/>
    </row>
    <row r="8" spans="2:3" ht="16.5" customHeight="1" x14ac:dyDescent="0.25">
      <c r="B8" s="24" t="s">
        <v>3442</v>
      </c>
      <c r="C8" s="25"/>
    </row>
    <row r="9" spans="2:3" ht="16.5" customHeight="1" x14ac:dyDescent="0.25">
      <c r="B9" s="24" t="s">
        <v>3437</v>
      </c>
      <c r="C9" s="25"/>
    </row>
    <row r="10" spans="2:3" ht="16.5" customHeight="1" x14ac:dyDescent="0.25">
      <c r="B10" s="24" t="s">
        <v>3438</v>
      </c>
      <c r="C10" s="25"/>
    </row>
    <row r="11" spans="2:3" ht="16.5" customHeight="1" x14ac:dyDescent="0.25">
      <c r="B11" s="34"/>
      <c r="C11" s="35"/>
    </row>
    <row r="12" spans="2:3" ht="16.5" customHeight="1" x14ac:dyDescent="0.25">
      <c r="B12" s="24" t="s">
        <v>3440</v>
      </c>
      <c r="C12" s="25"/>
    </row>
    <row r="13" spans="2:3" ht="16.5" customHeight="1" x14ac:dyDescent="0.25">
      <c r="B13" s="24" t="s">
        <v>3434</v>
      </c>
      <c r="C13" s="25"/>
    </row>
    <row r="14" spans="2:3" ht="16.5" customHeight="1" x14ac:dyDescent="0.25">
      <c r="B14" s="24" t="s">
        <v>3435</v>
      </c>
      <c r="C14" s="25"/>
    </row>
    <row r="15" spans="2:3" ht="16.5" customHeight="1" x14ac:dyDescent="0.25">
      <c r="B15" s="24" t="s">
        <v>3436</v>
      </c>
      <c r="C15" s="25"/>
    </row>
    <row r="16" spans="2:3" ht="16.5" customHeight="1" x14ac:dyDescent="0.25">
      <c r="B16" s="24" t="s">
        <v>3443</v>
      </c>
      <c r="C16" s="25"/>
    </row>
    <row r="17" spans="2:3" ht="16.5" customHeight="1" x14ac:dyDescent="0.25">
      <c r="B17" s="24" t="s">
        <v>3444</v>
      </c>
      <c r="C17" s="25"/>
    </row>
    <row r="18" spans="2:3" ht="16.5" customHeight="1" x14ac:dyDescent="0.25">
      <c r="B18" s="24" t="s">
        <v>3437</v>
      </c>
      <c r="C18" s="25"/>
    </row>
    <row r="19" spans="2:3" ht="16.5" customHeight="1" x14ac:dyDescent="0.25">
      <c r="B19" s="24" t="s">
        <v>3438</v>
      </c>
      <c r="C19" s="25"/>
    </row>
    <row r="20" spans="2:3" ht="16.5" customHeight="1" x14ac:dyDescent="0.25">
      <c r="B20" s="34"/>
      <c r="C20" s="35"/>
    </row>
    <row r="21" spans="2:3" ht="9.75" customHeight="1" thickBot="1" x14ac:dyDescent="0.3">
      <c r="B21" s="33"/>
      <c r="C21" s="41"/>
    </row>
    <row r="22" spans="2:3" ht="16.5" customHeight="1" x14ac:dyDescent="0.25"/>
    <row r="23" spans="2:3" ht="16.5" customHeight="1" x14ac:dyDescent="0.25"/>
  </sheetData>
  <sheetProtection insertRows="0"/>
  <mergeCells count="2">
    <mergeCell ref="B3:C3"/>
    <mergeCell ref="B2:C2"/>
  </mergeCells>
  <pageMargins left="0.511811024" right="0.511811024" top="0.78740157499999996" bottom="0.78740157499999996" header="0.31496062000000002" footer="0.31496062000000002"/>
  <pageSetup paperSize="9" orientation="portrait"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'Lista de Dados'!$CA$2:$CA$4</xm:f>
          </x14:formula1>
          <xm:sqref>C4 C12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dimension ref="A1:CB501"/>
  <sheetViews>
    <sheetView workbookViewId="0">
      <selection activeCell="R2" sqref="R2"/>
    </sheetView>
  </sheetViews>
  <sheetFormatPr defaultRowHeight="15" x14ac:dyDescent="0.25"/>
  <cols>
    <col min="2" max="2" width="20.140625" customWidth="1"/>
    <col min="3" max="3" width="25.7109375" bestFit="1" customWidth="1"/>
    <col min="4" max="4" width="15.140625" customWidth="1"/>
    <col min="5" max="5" width="33.140625" bestFit="1" customWidth="1"/>
    <col min="6" max="6" width="26.140625" customWidth="1"/>
    <col min="7" max="7" width="31.85546875" customWidth="1"/>
    <col min="8" max="8" width="48" bestFit="1" customWidth="1"/>
    <col min="9" max="9" width="23.85546875" customWidth="1"/>
    <col min="10" max="10" width="43.42578125" customWidth="1"/>
    <col min="11" max="11" width="20.7109375" customWidth="1"/>
    <col min="12" max="12" width="41.42578125" bestFit="1" customWidth="1"/>
    <col min="13" max="13" width="70.7109375" customWidth="1"/>
    <col min="14" max="14" width="11.42578125" style="8" customWidth="1"/>
    <col min="15" max="15" width="59.7109375" bestFit="1" customWidth="1"/>
    <col min="16" max="16" width="46.42578125" customWidth="1"/>
    <col min="17" max="17" width="41.7109375" customWidth="1"/>
    <col min="18" max="18" width="91.42578125" bestFit="1" customWidth="1"/>
    <col min="19" max="19" width="75.85546875" bestFit="1" customWidth="1"/>
    <col min="20" max="20" width="57.28515625" bestFit="1" customWidth="1"/>
    <col min="21" max="21" width="20.7109375" customWidth="1"/>
    <col min="22" max="22" width="29" customWidth="1"/>
    <col min="23" max="23" width="30.85546875" customWidth="1"/>
    <col min="24" max="24" width="29" customWidth="1"/>
    <col min="25" max="25" width="55.7109375" bestFit="1" customWidth="1"/>
    <col min="26" max="26" width="55.5703125" bestFit="1" customWidth="1"/>
    <col min="27" max="27" width="62.140625" bestFit="1" customWidth="1"/>
    <col min="28" max="28" width="68.140625" customWidth="1"/>
    <col min="29" max="29" width="56.140625" customWidth="1"/>
    <col min="30" max="30" width="29" customWidth="1"/>
    <col min="31" max="31" width="47.5703125" bestFit="1" customWidth="1"/>
    <col min="32" max="32" width="32.28515625" bestFit="1" customWidth="1"/>
    <col min="33" max="33" width="31.85546875" customWidth="1"/>
    <col min="34" max="34" width="60.5703125" bestFit="1" customWidth="1"/>
    <col min="38" max="38" width="31.28515625" customWidth="1"/>
    <col min="39" max="39" width="33.42578125" customWidth="1"/>
    <col min="40" max="41" width="56.5703125" customWidth="1"/>
    <col min="42" max="42" width="30.85546875" customWidth="1"/>
    <col min="43" max="43" width="36.85546875" bestFit="1" customWidth="1"/>
    <col min="44" max="44" width="36.85546875" customWidth="1"/>
    <col min="45" max="46" width="31.5703125" customWidth="1"/>
    <col min="47" max="47" width="59" bestFit="1" customWidth="1"/>
    <col min="48" max="48" width="39" customWidth="1"/>
    <col min="49" max="49" width="24.7109375" customWidth="1"/>
    <col min="50" max="50" width="27.5703125" bestFit="1" customWidth="1"/>
    <col min="51" max="51" width="40.140625" customWidth="1"/>
    <col min="52" max="52" width="44.85546875" bestFit="1" customWidth="1"/>
    <col min="53" max="53" width="36.42578125" customWidth="1"/>
    <col min="54" max="54" width="21.7109375" customWidth="1"/>
    <col min="55" max="55" width="23.85546875" customWidth="1"/>
    <col min="56" max="56" width="45.7109375" bestFit="1" customWidth="1"/>
    <col min="57" max="57" width="39.28515625" customWidth="1"/>
    <col min="58" max="58" width="29.85546875" bestFit="1" customWidth="1"/>
    <col min="59" max="59" width="23.5703125" customWidth="1"/>
    <col min="60" max="60" width="27" customWidth="1"/>
    <col min="61" max="61" width="41.5703125" bestFit="1" customWidth="1"/>
    <col min="62" max="62" width="31.42578125" customWidth="1"/>
    <col min="63" max="63" width="47.85546875" bestFit="1" customWidth="1"/>
    <col min="64" max="64" width="40.85546875" customWidth="1"/>
    <col min="65" max="65" width="23.5703125" customWidth="1"/>
    <col min="66" max="66" width="42.7109375" customWidth="1"/>
    <col min="67" max="67" width="27" customWidth="1"/>
    <col min="68" max="68" width="20.42578125" bestFit="1" customWidth="1"/>
    <col min="69" max="69" width="29.28515625" bestFit="1" customWidth="1"/>
    <col min="70" max="70" width="43.140625" customWidth="1"/>
    <col min="71" max="71" width="23.28515625" customWidth="1"/>
    <col min="72" max="72" width="28.28515625" bestFit="1" customWidth="1"/>
    <col min="73" max="73" width="26.28515625" customWidth="1"/>
    <col min="74" max="74" width="37.5703125" customWidth="1"/>
    <col min="75" max="75" width="35.140625" customWidth="1"/>
    <col min="76" max="76" width="31.5703125" customWidth="1"/>
    <col min="77" max="77" width="51.140625" customWidth="1"/>
    <col min="78" max="78" width="32.85546875" customWidth="1"/>
    <col min="79" max="79" width="21.140625" customWidth="1"/>
  </cols>
  <sheetData>
    <row r="1" spans="1:80" ht="41.25" customHeight="1" x14ac:dyDescent="0.25">
      <c r="A1" s="1" t="s">
        <v>1</v>
      </c>
      <c r="B1" s="1" t="s">
        <v>2</v>
      </c>
      <c r="C1" s="1" t="s">
        <v>3</v>
      </c>
      <c r="D1" s="1" t="s">
        <v>4</v>
      </c>
      <c r="E1" s="1" t="s">
        <v>5</v>
      </c>
      <c r="F1" s="1" t="s">
        <v>6</v>
      </c>
      <c r="G1" s="1" t="s">
        <v>7</v>
      </c>
      <c r="H1" s="1" t="s">
        <v>8</v>
      </c>
      <c r="I1" s="1" t="s">
        <v>9</v>
      </c>
      <c r="J1" s="2" t="s">
        <v>10</v>
      </c>
      <c r="K1" s="2" t="s">
        <v>11</v>
      </c>
      <c r="L1" s="2" t="s">
        <v>12</v>
      </c>
      <c r="M1" s="2" t="s">
        <v>13</v>
      </c>
      <c r="N1" s="3" t="s">
        <v>14</v>
      </c>
      <c r="O1" s="2" t="s">
        <v>15</v>
      </c>
      <c r="P1" s="2" t="s">
        <v>16</v>
      </c>
      <c r="Q1" s="2" t="s">
        <v>17</v>
      </c>
      <c r="R1" s="2" t="s">
        <v>18</v>
      </c>
      <c r="S1" s="2" t="s">
        <v>19</v>
      </c>
      <c r="T1" s="2" t="s">
        <v>20</v>
      </c>
      <c r="U1" s="2" t="s">
        <v>21</v>
      </c>
      <c r="V1" s="2" t="s">
        <v>22</v>
      </c>
      <c r="W1" s="2" t="s">
        <v>23</v>
      </c>
      <c r="X1" s="2" t="s">
        <v>24</v>
      </c>
      <c r="Y1" s="2" t="s">
        <v>25</v>
      </c>
      <c r="Z1" s="2" t="s">
        <v>26</v>
      </c>
      <c r="AA1" s="2" t="s">
        <v>27</v>
      </c>
      <c r="AB1" s="2" t="s">
        <v>28</v>
      </c>
      <c r="AC1" s="2" t="s">
        <v>29</v>
      </c>
      <c r="AD1" s="2" t="s">
        <v>30</v>
      </c>
      <c r="AE1" s="2" t="s">
        <v>31</v>
      </c>
      <c r="AF1" s="2" t="s">
        <v>32</v>
      </c>
      <c r="AG1" s="2" t="s">
        <v>33</v>
      </c>
      <c r="AH1" s="2" t="s">
        <v>34</v>
      </c>
      <c r="AI1" s="103" t="s">
        <v>35</v>
      </c>
      <c r="AJ1" s="104"/>
      <c r="AK1" s="105"/>
      <c r="AL1" s="4" t="s">
        <v>36</v>
      </c>
      <c r="AM1" s="2" t="s">
        <v>37</v>
      </c>
      <c r="AN1" s="2" t="s">
        <v>38</v>
      </c>
      <c r="AO1" s="2" t="s">
        <v>39</v>
      </c>
      <c r="AP1" s="2" t="s">
        <v>40</v>
      </c>
      <c r="AQ1" s="2" t="s">
        <v>41</v>
      </c>
      <c r="AR1" s="2" t="s">
        <v>42</v>
      </c>
      <c r="AS1" s="2" t="s">
        <v>43</v>
      </c>
      <c r="AT1" s="2" t="s">
        <v>44</v>
      </c>
      <c r="AU1" s="2" t="s">
        <v>45</v>
      </c>
      <c r="AV1" s="2" t="s">
        <v>46</v>
      </c>
      <c r="AW1" s="2" t="s">
        <v>44</v>
      </c>
      <c r="AX1" s="2" t="s">
        <v>47</v>
      </c>
      <c r="AY1" s="2" t="s">
        <v>48</v>
      </c>
      <c r="AZ1" s="2" t="s">
        <v>49</v>
      </c>
      <c r="BA1" s="2" t="s">
        <v>50</v>
      </c>
      <c r="BB1" s="2" t="s">
        <v>51</v>
      </c>
      <c r="BC1" s="2" t="s">
        <v>52</v>
      </c>
      <c r="BD1" s="2" t="s">
        <v>53</v>
      </c>
      <c r="BE1" s="2" t="s">
        <v>54</v>
      </c>
      <c r="BF1" s="2" t="s">
        <v>55</v>
      </c>
      <c r="BG1" s="2" t="s">
        <v>56</v>
      </c>
      <c r="BH1" s="2" t="s">
        <v>57</v>
      </c>
      <c r="BI1" s="2" t="s">
        <v>58</v>
      </c>
      <c r="BJ1" s="2" t="s">
        <v>59</v>
      </c>
      <c r="BK1" s="2" t="s">
        <v>60</v>
      </c>
      <c r="BL1" s="2" t="s">
        <v>61</v>
      </c>
      <c r="BM1" s="2" t="s">
        <v>62</v>
      </c>
      <c r="BN1" s="2" t="s">
        <v>63</v>
      </c>
      <c r="BO1" s="2" t="s">
        <v>64</v>
      </c>
      <c r="BP1" s="2" t="s">
        <v>65</v>
      </c>
      <c r="BQ1" s="2" t="s">
        <v>66</v>
      </c>
      <c r="BR1" s="2" t="s">
        <v>67</v>
      </c>
      <c r="BS1" s="2" t="s">
        <v>3445</v>
      </c>
      <c r="BT1" s="2" t="s">
        <v>132</v>
      </c>
      <c r="BU1" s="20" t="s">
        <v>3446</v>
      </c>
      <c r="BV1" s="20" t="s">
        <v>3450</v>
      </c>
      <c r="BW1" s="19" t="s">
        <v>3470</v>
      </c>
      <c r="BX1" s="19" t="s">
        <v>3493</v>
      </c>
      <c r="BY1" s="19" t="s">
        <v>3531</v>
      </c>
      <c r="BZ1" s="19" t="s">
        <v>3537</v>
      </c>
      <c r="CA1" s="19" t="s">
        <v>3545</v>
      </c>
      <c r="CB1" s="19" t="s">
        <v>3829</v>
      </c>
    </row>
    <row r="2" spans="1:80" ht="15.75" customHeight="1" x14ac:dyDescent="0.25">
      <c r="A2" s="5" t="s">
        <v>68</v>
      </c>
      <c r="B2" s="5" t="s">
        <v>69</v>
      </c>
      <c r="C2" s="5" t="s">
        <v>283</v>
      </c>
      <c r="D2" s="5" t="s">
        <v>71</v>
      </c>
      <c r="E2" s="5" t="s">
        <v>3842</v>
      </c>
      <c r="F2" s="5" t="s">
        <v>72</v>
      </c>
      <c r="G2" s="5" t="s">
        <v>73</v>
      </c>
      <c r="H2" s="5" t="s">
        <v>74</v>
      </c>
      <c r="I2" s="6" t="s">
        <v>75</v>
      </c>
      <c r="J2" s="5" t="s">
        <v>3899</v>
      </c>
      <c r="K2" s="5" t="s">
        <v>76</v>
      </c>
      <c r="L2" t="s">
        <v>77</v>
      </c>
      <c r="M2" t="s">
        <v>78</v>
      </c>
      <c r="N2" s="7" t="s">
        <v>79</v>
      </c>
      <c r="O2" s="8" t="s">
        <v>80</v>
      </c>
      <c r="P2" t="s">
        <v>81</v>
      </c>
      <c r="Q2" t="s">
        <v>82</v>
      </c>
      <c r="R2" t="s">
        <v>83</v>
      </c>
      <c r="S2" t="s">
        <v>84</v>
      </c>
      <c r="T2" s="9" t="s">
        <v>85</v>
      </c>
      <c r="U2" s="5" t="s">
        <v>86</v>
      </c>
      <c r="V2" s="5" t="s">
        <v>87</v>
      </c>
      <c r="W2" s="5" t="s">
        <v>88</v>
      </c>
      <c r="X2" t="s">
        <v>89</v>
      </c>
      <c r="Y2" t="s">
        <v>90</v>
      </c>
      <c r="Z2" t="s">
        <v>91</v>
      </c>
      <c r="AA2" t="s">
        <v>92</v>
      </c>
      <c r="AB2" t="s">
        <v>93</v>
      </c>
      <c r="AC2" t="s">
        <v>94</v>
      </c>
      <c r="AD2" t="s">
        <v>95</v>
      </c>
      <c r="AE2" t="s">
        <v>96</v>
      </c>
      <c r="AF2" t="s">
        <v>97</v>
      </c>
      <c r="AG2" t="s">
        <v>98</v>
      </c>
      <c r="AH2" t="s">
        <v>99</v>
      </c>
      <c r="AI2" s="106" t="s">
        <v>100</v>
      </c>
      <c r="AJ2" s="106"/>
      <c r="AK2" s="106"/>
      <c r="AL2" t="s">
        <v>101</v>
      </c>
      <c r="AM2" s="5" t="s">
        <v>3899</v>
      </c>
      <c r="AN2" t="s">
        <v>102</v>
      </c>
      <c r="AO2" t="s">
        <v>103</v>
      </c>
      <c r="AP2" t="s">
        <v>104</v>
      </c>
      <c r="AQ2" t="s">
        <v>105</v>
      </c>
      <c r="AR2" t="s">
        <v>106</v>
      </c>
      <c r="AS2" s="5" t="s">
        <v>107</v>
      </c>
      <c r="AT2" s="5" t="s">
        <v>108</v>
      </c>
      <c r="AU2" t="s">
        <v>109</v>
      </c>
      <c r="AV2" s="5" t="s">
        <v>110</v>
      </c>
      <c r="AW2" s="5" t="s">
        <v>111</v>
      </c>
      <c r="AX2" t="s">
        <v>101</v>
      </c>
      <c r="AY2" s="5" t="s">
        <v>112</v>
      </c>
      <c r="AZ2" t="s">
        <v>113</v>
      </c>
      <c r="BA2" t="s">
        <v>114</v>
      </c>
      <c r="BB2" s="5" t="s">
        <v>115</v>
      </c>
      <c r="BC2" s="5" t="s">
        <v>116</v>
      </c>
      <c r="BD2" t="s">
        <v>117</v>
      </c>
      <c r="BE2" t="s">
        <v>118</v>
      </c>
      <c r="BF2" t="s">
        <v>119</v>
      </c>
      <c r="BG2" s="5" t="s">
        <v>120</v>
      </c>
      <c r="BH2" s="5" t="s">
        <v>121</v>
      </c>
      <c r="BI2" t="s">
        <v>122</v>
      </c>
      <c r="BJ2" t="s">
        <v>123</v>
      </c>
      <c r="BK2" s="5" t="s">
        <v>124</v>
      </c>
      <c r="BL2" s="5" t="s">
        <v>125</v>
      </c>
      <c r="BM2" s="5" t="s">
        <v>126</v>
      </c>
      <c r="BN2" s="10" t="s">
        <v>127</v>
      </c>
      <c r="BO2" s="5" t="s">
        <v>3830</v>
      </c>
      <c r="BP2" t="s">
        <v>128</v>
      </c>
      <c r="BQ2" s="5" t="s">
        <v>129</v>
      </c>
      <c r="BR2" t="s">
        <v>130</v>
      </c>
      <c r="BS2" s="5" t="s">
        <v>131</v>
      </c>
      <c r="BT2" t="s">
        <v>192</v>
      </c>
      <c r="BU2" s="5" t="s">
        <v>3447</v>
      </c>
      <c r="BV2" s="21" t="s">
        <v>3451</v>
      </c>
      <c r="BW2" s="21" t="s">
        <v>3471</v>
      </c>
      <c r="BX2" s="21" t="s">
        <v>3494</v>
      </c>
      <c r="BY2" s="21" t="s">
        <v>3516</v>
      </c>
      <c r="BZ2" t="s">
        <v>3538</v>
      </c>
      <c r="CA2" t="s">
        <v>3544</v>
      </c>
      <c r="CB2" t="s">
        <v>3573</v>
      </c>
    </row>
    <row r="3" spans="1:80" ht="14.25" customHeight="1" x14ac:dyDescent="0.25">
      <c r="A3" s="5" t="s">
        <v>133</v>
      </c>
      <c r="B3" s="5" t="s">
        <v>134</v>
      </c>
      <c r="C3" s="5" t="s">
        <v>319</v>
      </c>
      <c r="D3" s="5" t="s">
        <v>136</v>
      </c>
      <c r="E3" s="5" t="s">
        <v>137</v>
      </c>
      <c r="F3" s="5" t="s">
        <v>138</v>
      </c>
      <c r="G3" s="5" t="s">
        <v>139</v>
      </c>
      <c r="H3" s="5" t="s">
        <v>140</v>
      </c>
      <c r="I3" s="5" t="s">
        <v>141</v>
      </c>
      <c r="J3" s="5" t="s">
        <v>3900</v>
      </c>
      <c r="K3" s="5" t="s">
        <v>142</v>
      </c>
      <c r="L3" t="s">
        <v>143</v>
      </c>
      <c r="M3" t="s">
        <v>144</v>
      </c>
      <c r="N3" s="7" t="s">
        <v>145</v>
      </c>
      <c r="O3" s="8" t="s">
        <v>146</v>
      </c>
      <c r="P3" t="s">
        <v>147</v>
      </c>
      <c r="Q3" t="s">
        <v>148</v>
      </c>
      <c r="R3" t="s">
        <v>149</v>
      </c>
      <c r="S3" t="s">
        <v>150</v>
      </c>
      <c r="T3" s="5" t="s">
        <v>151</v>
      </c>
      <c r="V3" s="5" t="s">
        <v>152</v>
      </c>
      <c r="W3" s="5" t="s">
        <v>153</v>
      </c>
      <c r="X3" t="s">
        <v>154</v>
      </c>
      <c r="Y3" t="s">
        <v>155</v>
      </c>
      <c r="Z3" t="s">
        <v>156</v>
      </c>
      <c r="AA3" t="s">
        <v>157</v>
      </c>
      <c r="AB3" s="5" t="s">
        <v>158</v>
      </c>
      <c r="AC3" t="s">
        <v>159</v>
      </c>
      <c r="AD3" t="s">
        <v>160</v>
      </c>
      <c r="AE3" t="s">
        <v>161</v>
      </c>
      <c r="AF3" t="s">
        <v>162</v>
      </c>
      <c r="AG3" t="s">
        <v>163</v>
      </c>
      <c r="AH3" t="s">
        <v>164</v>
      </c>
      <c r="AI3" s="5" t="s">
        <v>165</v>
      </c>
      <c r="AL3" t="s">
        <v>166</v>
      </c>
      <c r="AM3" s="5" t="s">
        <v>3900</v>
      </c>
      <c r="AN3" t="s">
        <v>167</v>
      </c>
      <c r="AO3" t="s">
        <v>168</v>
      </c>
      <c r="AQ3" t="s">
        <v>169</v>
      </c>
      <c r="AR3" t="s">
        <v>170</v>
      </c>
      <c r="AS3" t="s">
        <v>171</v>
      </c>
      <c r="AU3" t="s">
        <v>172</v>
      </c>
      <c r="AV3" t="s">
        <v>173</v>
      </c>
      <c r="AW3" s="5" t="s">
        <v>165</v>
      </c>
      <c r="AX3" t="s">
        <v>166</v>
      </c>
      <c r="AY3" s="5" t="s">
        <v>165</v>
      </c>
      <c r="AZ3" t="s">
        <v>174</v>
      </c>
      <c r="BA3" t="s">
        <v>175</v>
      </c>
      <c r="BB3" s="5" t="s">
        <v>176</v>
      </c>
      <c r="BC3" s="5" t="s">
        <v>165</v>
      </c>
      <c r="BD3" t="s">
        <v>177</v>
      </c>
      <c r="BE3" t="s">
        <v>178</v>
      </c>
      <c r="BF3" t="s">
        <v>179</v>
      </c>
      <c r="BG3" s="5" t="s">
        <v>180</v>
      </c>
      <c r="BH3" s="5" t="s">
        <v>181</v>
      </c>
      <c r="BI3" t="s">
        <v>182</v>
      </c>
      <c r="BJ3" t="s">
        <v>183</v>
      </c>
      <c r="BK3" s="5" t="s">
        <v>184</v>
      </c>
      <c r="BL3" s="5" t="s">
        <v>185</v>
      </c>
      <c r="BM3" s="5" t="s">
        <v>186</v>
      </c>
      <c r="BN3" s="10" t="s">
        <v>187</v>
      </c>
      <c r="BO3" s="5" t="s">
        <v>3831</v>
      </c>
      <c r="BP3" t="s">
        <v>188</v>
      </c>
      <c r="BQ3" t="s">
        <v>189</v>
      </c>
      <c r="BR3" t="s">
        <v>190</v>
      </c>
      <c r="BS3" s="5" t="s">
        <v>191</v>
      </c>
      <c r="BT3" t="s">
        <v>240</v>
      </c>
      <c r="BU3" t="s">
        <v>3448</v>
      </c>
      <c r="BV3" s="21" t="s">
        <v>3452</v>
      </c>
      <c r="BW3" s="21" t="s">
        <v>3472</v>
      </c>
      <c r="BX3" s="21" t="s">
        <v>3495</v>
      </c>
      <c r="BY3" s="21" t="s">
        <v>3517</v>
      </c>
      <c r="BZ3" t="s">
        <v>3539</v>
      </c>
      <c r="CA3" t="s">
        <v>18</v>
      </c>
      <c r="CB3" t="s">
        <v>3574</v>
      </c>
    </row>
    <row r="4" spans="1:80" x14ac:dyDescent="0.25">
      <c r="C4" s="5" t="s">
        <v>37</v>
      </c>
      <c r="D4" s="5"/>
      <c r="E4" s="5" t="s">
        <v>193</v>
      </c>
      <c r="F4" s="5" t="s">
        <v>194</v>
      </c>
      <c r="G4" s="5" t="s">
        <v>195</v>
      </c>
      <c r="H4" s="5" t="s">
        <v>196</v>
      </c>
      <c r="I4" s="5"/>
      <c r="J4" s="5" t="s">
        <v>3901</v>
      </c>
      <c r="K4" s="5" t="s">
        <v>197</v>
      </c>
      <c r="L4" t="s">
        <v>198</v>
      </c>
      <c r="M4" t="s">
        <v>199</v>
      </c>
      <c r="N4" s="7" t="s">
        <v>200</v>
      </c>
      <c r="O4" s="8" t="s">
        <v>201</v>
      </c>
      <c r="P4" t="s">
        <v>202</v>
      </c>
      <c r="Q4" t="s">
        <v>203</v>
      </c>
      <c r="R4" t="s">
        <v>149</v>
      </c>
      <c r="S4" t="s">
        <v>204</v>
      </c>
      <c r="T4" s="5" t="s">
        <v>205</v>
      </c>
      <c r="V4" s="5" t="s">
        <v>206</v>
      </c>
      <c r="W4" s="5" t="s">
        <v>207</v>
      </c>
      <c r="X4" t="s">
        <v>208</v>
      </c>
      <c r="Y4" s="5" t="s">
        <v>209</v>
      </c>
      <c r="Z4" t="s">
        <v>210</v>
      </c>
      <c r="AA4" t="s">
        <v>211</v>
      </c>
      <c r="AB4" s="5" t="s">
        <v>212</v>
      </c>
      <c r="AC4" t="s">
        <v>213</v>
      </c>
      <c r="AD4" t="s">
        <v>214</v>
      </c>
      <c r="AE4" t="s">
        <v>215</v>
      </c>
      <c r="AF4" t="s">
        <v>216</v>
      </c>
      <c r="AG4" t="s">
        <v>217</v>
      </c>
      <c r="AH4" t="s">
        <v>218</v>
      </c>
      <c r="AM4" s="5" t="s">
        <v>3901</v>
      </c>
      <c r="AN4" t="s">
        <v>219</v>
      </c>
      <c r="AO4" t="s">
        <v>220</v>
      </c>
      <c r="AQ4" t="s">
        <v>221</v>
      </c>
      <c r="AR4" t="s">
        <v>222</v>
      </c>
      <c r="AS4" t="s">
        <v>223</v>
      </c>
      <c r="AU4" t="s">
        <v>224</v>
      </c>
      <c r="AV4" t="s">
        <v>225</v>
      </c>
      <c r="AW4" s="5" t="s">
        <v>165</v>
      </c>
      <c r="AZ4" t="s">
        <v>226</v>
      </c>
      <c r="BA4" t="s">
        <v>227</v>
      </c>
      <c r="BD4" t="s">
        <v>228</v>
      </c>
      <c r="BE4" t="s">
        <v>229</v>
      </c>
      <c r="BG4" s="5" t="s">
        <v>230</v>
      </c>
      <c r="BH4" s="5" t="s">
        <v>231</v>
      </c>
      <c r="BI4" t="s">
        <v>232</v>
      </c>
      <c r="BJ4" t="s">
        <v>233</v>
      </c>
      <c r="BK4" s="5" t="s">
        <v>234</v>
      </c>
      <c r="BL4" s="5" t="s">
        <v>235</v>
      </c>
      <c r="BN4" s="10" t="s">
        <v>236</v>
      </c>
      <c r="BO4" s="5" t="s">
        <v>3832</v>
      </c>
      <c r="BP4" t="s">
        <v>237</v>
      </c>
      <c r="BR4" t="s">
        <v>238</v>
      </c>
      <c r="BS4" s="5" t="s">
        <v>239</v>
      </c>
      <c r="BT4" t="s">
        <v>282</v>
      </c>
      <c r="BU4" t="s">
        <v>3449</v>
      </c>
      <c r="BV4" s="21" t="s">
        <v>3453</v>
      </c>
      <c r="BW4" s="21" t="s">
        <v>3473</v>
      </c>
      <c r="BX4" s="21" t="s">
        <v>3496</v>
      </c>
      <c r="BY4" s="21" t="s">
        <v>3518</v>
      </c>
      <c r="BZ4" t="s">
        <v>3540</v>
      </c>
      <c r="CA4" t="s">
        <v>189</v>
      </c>
      <c r="CB4" t="s">
        <v>3575</v>
      </c>
    </row>
    <row r="5" spans="1:80" x14ac:dyDescent="0.25">
      <c r="C5" s="77" t="s">
        <v>70</v>
      </c>
      <c r="D5" s="5"/>
      <c r="E5" s="11" t="s">
        <v>3843</v>
      </c>
      <c r="F5" s="11" t="s">
        <v>243</v>
      </c>
      <c r="G5" s="11" t="s">
        <v>244</v>
      </c>
      <c r="J5" s="11" t="s">
        <v>3902</v>
      </c>
      <c r="K5" s="11"/>
      <c r="L5" t="s">
        <v>245</v>
      </c>
      <c r="M5" t="s">
        <v>246</v>
      </c>
      <c r="N5" s="7" t="s">
        <v>247</v>
      </c>
      <c r="O5" s="8" t="s">
        <v>248</v>
      </c>
      <c r="P5" t="s">
        <v>249</v>
      </c>
      <c r="Q5" t="s">
        <v>250</v>
      </c>
      <c r="R5" t="s">
        <v>251</v>
      </c>
      <c r="S5" t="s">
        <v>252</v>
      </c>
      <c r="W5" s="11" t="s">
        <v>253</v>
      </c>
      <c r="X5" t="s">
        <v>254</v>
      </c>
      <c r="Y5" s="5" t="s">
        <v>165</v>
      </c>
      <c r="Z5" t="s">
        <v>255</v>
      </c>
      <c r="AA5" s="5" t="s">
        <v>165</v>
      </c>
      <c r="AC5" t="s">
        <v>256</v>
      </c>
      <c r="AD5" t="s">
        <v>257</v>
      </c>
      <c r="AE5" t="s">
        <v>258</v>
      </c>
      <c r="AF5" t="s">
        <v>259</v>
      </c>
      <c r="AG5" t="s">
        <v>260</v>
      </c>
      <c r="AH5" t="s">
        <v>261</v>
      </c>
      <c r="AI5" s="5" t="s">
        <v>165</v>
      </c>
      <c r="AM5" s="11" t="s">
        <v>3902</v>
      </c>
      <c r="AN5" t="s">
        <v>262</v>
      </c>
      <c r="AO5" t="s">
        <v>263</v>
      </c>
      <c r="AQ5" t="s">
        <v>264</v>
      </c>
      <c r="AR5" t="s">
        <v>265</v>
      </c>
      <c r="AS5" t="s">
        <v>266</v>
      </c>
      <c r="AU5" t="s">
        <v>267</v>
      </c>
      <c r="AV5" t="s">
        <v>268</v>
      </c>
      <c r="AW5" s="5" t="s">
        <v>165</v>
      </c>
      <c r="AZ5" t="s">
        <v>269</v>
      </c>
      <c r="BA5" t="s">
        <v>270</v>
      </c>
      <c r="BD5" t="s">
        <v>271</v>
      </c>
      <c r="BE5" t="s">
        <v>272</v>
      </c>
      <c r="BG5" s="5" t="s">
        <v>273</v>
      </c>
      <c r="BH5" s="5" t="s">
        <v>274</v>
      </c>
      <c r="BI5" t="s">
        <v>275</v>
      </c>
      <c r="BJ5" t="s">
        <v>276</v>
      </c>
      <c r="BK5" s="5" t="s">
        <v>277</v>
      </c>
      <c r="BN5" s="10" t="s">
        <v>278</v>
      </c>
      <c r="BO5" s="5" t="s">
        <v>3833</v>
      </c>
      <c r="BP5" t="s">
        <v>279</v>
      </c>
      <c r="BR5" t="s">
        <v>280</v>
      </c>
      <c r="BS5" s="5" t="s">
        <v>281</v>
      </c>
      <c r="BT5" t="s">
        <v>318</v>
      </c>
      <c r="BU5" t="s">
        <v>3530</v>
      </c>
      <c r="BV5" s="21" t="s">
        <v>3454</v>
      </c>
      <c r="BW5" s="21" t="s">
        <v>3474</v>
      </c>
      <c r="BX5" s="21" t="s">
        <v>3497</v>
      </c>
      <c r="BY5" s="21" t="s">
        <v>3519</v>
      </c>
      <c r="BZ5" t="s">
        <v>3541</v>
      </c>
      <c r="CB5" t="s">
        <v>3576</v>
      </c>
    </row>
    <row r="6" spans="1:80" x14ac:dyDescent="0.25">
      <c r="C6" s="77" t="s">
        <v>135</v>
      </c>
      <c r="D6" s="5"/>
      <c r="E6" s="76" t="s">
        <v>193</v>
      </c>
      <c r="G6" s="11" t="s">
        <v>284</v>
      </c>
      <c r="J6" s="11" t="s">
        <v>3903</v>
      </c>
      <c r="K6" s="11"/>
      <c r="L6" t="s">
        <v>285</v>
      </c>
      <c r="M6" t="s">
        <v>286</v>
      </c>
      <c r="N6" s="7" t="s">
        <v>287</v>
      </c>
      <c r="O6" s="8" t="s">
        <v>288</v>
      </c>
      <c r="P6" t="s">
        <v>289</v>
      </c>
      <c r="Q6" t="s">
        <v>290</v>
      </c>
      <c r="R6" t="s">
        <v>291</v>
      </c>
      <c r="S6" t="s">
        <v>292</v>
      </c>
      <c r="X6" t="s">
        <v>293</v>
      </c>
      <c r="Y6" s="5" t="s">
        <v>165</v>
      </c>
      <c r="Z6" t="s">
        <v>294</v>
      </c>
      <c r="AA6" s="5" t="s">
        <v>165</v>
      </c>
      <c r="AB6" s="5"/>
      <c r="AC6" t="s">
        <v>295</v>
      </c>
      <c r="AD6" t="s">
        <v>296</v>
      </c>
      <c r="AE6" t="s">
        <v>297</v>
      </c>
      <c r="AG6" t="s">
        <v>298</v>
      </c>
      <c r="AH6" t="s">
        <v>299</v>
      </c>
      <c r="AI6" s="5" t="s">
        <v>165</v>
      </c>
      <c r="AM6" s="11" t="s">
        <v>3903</v>
      </c>
      <c r="AN6" t="s">
        <v>300</v>
      </c>
      <c r="AO6" t="s">
        <v>301</v>
      </c>
      <c r="AQ6" t="s">
        <v>302</v>
      </c>
      <c r="AR6" t="s">
        <v>303</v>
      </c>
      <c r="AS6" t="s">
        <v>304</v>
      </c>
      <c r="AU6" s="5" t="s">
        <v>165</v>
      </c>
      <c r="AV6" t="s">
        <v>305</v>
      </c>
      <c r="AW6" s="5" t="s">
        <v>165</v>
      </c>
      <c r="AZ6" t="s">
        <v>306</v>
      </c>
      <c r="BA6" t="s">
        <v>307</v>
      </c>
      <c r="BB6" s="5"/>
      <c r="BD6" t="s">
        <v>308</v>
      </c>
      <c r="BE6" t="s">
        <v>309</v>
      </c>
      <c r="BG6" s="5" t="s">
        <v>310</v>
      </c>
      <c r="BH6" s="5" t="s">
        <v>165</v>
      </c>
      <c r="BI6" t="s">
        <v>311</v>
      </c>
      <c r="BJ6" t="s">
        <v>312</v>
      </c>
      <c r="BK6" s="5" t="s">
        <v>313</v>
      </c>
      <c r="BN6" s="10" t="s">
        <v>314</v>
      </c>
      <c r="BO6" s="5" t="s">
        <v>3834</v>
      </c>
      <c r="BP6" t="s">
        <v>315</v>
      </c>
      <c r="BR6" t="s">
        <v>316</v>
      </c>
      <c r="BS6" s="5" t="s">
        <v>317</v>
      </c>
      <c r="BV6" s="21" t="s">
        <v>3455</v>
      </c>
      <c r="BW6" s="21" t="s">
        <v>3475</v>
      </c>
      <c r="BX6" s="21" t="s">
        <v>3498</v>
      </c>
      <c r="BY6" s="21" t="s">
        <v>3520</v>
      </c>
      <c r="BZ6" t="s">
        <v>3542</v>
      </c>
      <c r="CB6" t="s">
        <v>3577</v>
      </c>
    </row>
    <row r="7" spans="1:80" x14ac:dyDescent="0.25">
      <c r="C7" s="77" t="s">
        <v>241</v>
      </c>
      <c r="D7" s="5"/>
      <c r="E7" s="77" t="s">
        <v>242</v>
      </c>
      <c r="G7" s="11" t="s">
        <v>321</v>
      </c>
      <c r="J7" s="11" t="s">
        <v>3904</v>
      </c>
      <c r="K7" s="11"/>
      <c r="L7" s="11"/>
      <c r="M7" t="s">
        <v>165</v>
      </c>
      <c r="N7" s="7" t="s">
        <v>165</v>
      </c>
      <c r="O7" s="8" t="s">
        <v>322</v>
      </c>
      <c r="P7" t="s">
        <v>323</v>
      </c>
      <c r="Q7" t="s">
        <v>324</v>
      </c>
      <c r="R7" t="s">
        <v>325</v>
      </c>
      <c r="S7" t="s">
        <v>326</v>
      </c>
      <c r="Y7" s="5" t="s">
        <v>165</v>
      </c>
      <c r="Z7" t="s">
        <v>327</v>
      </c>
      <c r="AC7" t="s">
        <v>328</v>
      </c>
      <c r="AD7" t="s">
        <v>329</v>
      </c>
      <c r="AE7" t="s">
        <v>330</v>
      </c>
      <c r="AG7" t="s">
        <v>331</v>
      </c>
      <c r="AH7" t="s">
        <v>332</v>
      </c>
      <c r="AI7" s="5" t="s">
        <v>165</v>
      </c>
      <c r="AM7" s="11" t="s">
        <v>3904</v>
      </c>
      <c r="AN7" t="s">
        <v>333</v>
      </c>
      <c r="AO7" t="s">
        <v>220</v>
      </c>
      <c r="AQ7" t="s">
        <v>334</v>
      </c>
      <c r="AR7" t="s">
        <v>335</v>
      </c>
      <c r="AS7" t="s">
        <v>336</v>
      </c>
      <c r="AU7" s="5" t="s">
        <v>165</v>
      </c>
      <c r="AV7" t="s">
        <v>337</v>
      </c>
      <c r="AW7" s="5" t="s">
        <v>165</v>
      </c>
      <c r="AZ7" t="s">
        <v>338</v>
      </c>
      <c r="BA7" t="s">
        <v>339</v>
      </c>
      <c r="BD7" t="s">
        <v>340</v>
      </c>
      <c r="BE7" t="s">
        <v>341</v>
      </c>
      <c r="BG7" s="5" t="s">
        <v>342</v>
      </c>
      <c r="BH7" s="5" t="s">
        <v>165</v>
      </c>
      <c r="BI7" t="s">
        <v>343</v>
      </c>
      <c r="BJ7" t="s">
        <v>344</v>
      </c>
      <c r="BK7" s="5" t="s">
        <v>345</v>
      </c>
      <c r="BN7" s="10" t="s">
        <v>346</v>
      </c>
      <c r="BO7" s="76" t="s">
        <v>3835</v>
      </c>
      <c r="BP7" t="s">
        <v>347</v>
      </c>
      <c r="BR7" t="s">
        <v>348</v>
      </c>
      <c r="BS7" s="5" t="s">
        <v>349</v>
      </c>
      <c r="BV7" s="21" t="s">
        <v>3456</v>
      </c>
      <c r="BW7" s="21" t="s">
        <v>3476</v>
      </c>
      <c r="BX7" s="21" t="s">
        <v>3499</v>
      </c>
      <c r="BY7" s="21" t="s">
        <v>3477</v>
      </c>
      <c r="BZ7" t="s">
        <v>3543</v>
      </c>
      <c r="CB7" t="s">
        <v>3578</v>
      </c>
    </row>
    <row r="8" spans="1:80" x14ac:dyDescent="0.25">
      <c r="E8" s="77" t="s">
        <v>3844</v>
      </c>
      <c r="G8" s="11" t="s">
        <v>351</v>
      </c>
      <c r="J8" s="11" t="s">
        <v>3905</v>
      </c>
      <c r="M8" t="s">
        <v>353</v>
      </c>
      <c r="N8" s="7" t="s">
        <v>354</v>
      </c>
      <c r="O8" s="8" t="s">
        <v>80</v>
      </c>
      <c r="P8" t="s">
        <v>355</v>
      </c>
      <c r="Q8" t="s">
        <v>356</v>
      </c>
      <c r="R8" t="s">
        <v>357</v>
      </c>
      <c r="S8" t="s">
        <v>358</v>
      </c>
      <c r="Z8" t="s">
        <v>359</v>
      </c>
      <c r="AC8" t="s">
        <v>360</v>
      </c>
      <c r="AD8" t="s">
        <v>361</v>
      </c>
      <c r="AE8" t="s">
        <v>362</v>
      </c>
      <c r="AG8" t="s">
        <v>363</v>
      </c>
      <c r="AH8" t="s">
        <v>364</v>
      </c>
      <c r="AI8" s="5" t="s">
        <v>165</v>
      </c>
      <c r="AM8" s="11" t="s">
        <v>3905</v>
      </c>
      <c r="AN8" t="s">
        <v>365</v>
      </c>
      <c r="AO8" t="s">
        <v>366</v>
      </c>
      <c r="AQ8" t="s">
        <v>367</v>
      </c>
      <c r="AR8" t="s">
        <v>368</v>
      </c>
      <c r="AS8" t="s">
        <v>369</v>
      </c>
      <c r="AU8" s="5" t="s">
        <v>165</v>
      </c>
      <c r="AV8" t="s">
        <v>370</v>
      </c>
      <c r="AW8" s="5" t="s">
        <v>165</v>
      </c>
      <c r="AZ8" t="s">
        <v>371</v>
      </c>
      <c r="BA8" t="s">
        <v>372</v>
      </c>
      <c r="BD8" t="s">
        <v>373</v>
      </c>
      <c r="BE8" t="s">
        <v>374</v>
      </c>
      <c r="BI8" t="s">
        <v>375</v>
      </c>
      <c r="BJ8" t="s">
        <v>376</v>
      </c>
      <c r="BK8" s="5" t="s">
        <v>377</v>
      </c>
      <c r="BN8" s="10" t="s">
        <v>378</v>
      </c>
      <c r="BO8" s="76" t="s">
        <v>3836</v>
      </c>
      <c r="BP8" t="s">
        <v>379</v>
      </c>
      <c r="BR8" t="s">
        <v>380</v>
      </c>
      <c r="BS8" s="5" t="s">
        <v>381</v>
      </c>
      <c r="BV8" s="21" t="s">
        <v>3457</v>
      </c>
      <c r="BW8" s="21" t="s">
        <v>3477</v>
      </c>
      <c r="BX8" s="21" t="s">
        <v>3500</v>
      </c>
      <c r="BY8" s="21" t="s">
        <v>3453</v>
      </c>
      <c r="CB8" t="s">
        <v>3579</v>
      </c>
    </row>
    <row r="9" spans="1:80" x14ac:dyDescent="0.25">
      <c r="E9" s="77" t="s">
        <v>320</v>
      </c>
      <c r="G9" s="11" t="s">
        <v>382</v>
      </c>
      <c r="J9" s="11" t="s">
        <v>3906</v>
      </c>
      <c r="M9" t="s">
        <v>78</v>
      </c>
      <c r="N9" s="7" t="s">
        <v>79</v>
      </c>
      <c r="O9" s="8" t="s">
        <v>384</v>
      </c>
      <c r="P9" t="s">
        <v>385</v>
      </c>
      <c r="Q9" t="s">
        <v>386</v>
      </c>
      <c r="R9" t="s">
        <v>387</v>
      </c>
      <c r="S9" t="s">
        <v>388</v>
      </c>
      <c r="Z9" t="s">
        <v>389</v>
      </c>
      <c r="AC9" t="s">
        <v>360</v>
      </c>
      <c r="AD9" t="s">
        <v>390</v>
      </c>
      <c r="AE9" t="s">
        <v>391</v>
      </c>
      <c r="AH9" t="s">
        <v>392</v>
      </c>
      <c r="AI9" s="5" t="s">
        <v>165</v>
      </c>
      <c r="AM9" s="11" t="s">
        <v>3906</v>
      </c>
      <c r="AN9" t="s">
        <v>393</v>
      </c>
      <c r="AO9" t="s">
        <v>394</v>
      </c>
      <c r="AQ9" t="s">
        <v>395</v>
      </c>
      <c r="AR9" t="s">
        <v>396</v>
      </c>
      <c r="AS9" t="s">
        <v>397</v>
      </c>
      <c r="AU9" s="5" t="s">
        <v>165</v>
      </c>
      <c r="AV9" t="s">
        <v>398</v>
      </c>
      <c r="AW9" s="5" t="s">
        <v>165</v>
      </c>
      <c r="AZ9" t="s">
        <v>399</v>
      </c>
      <c r="BA9" t="s">
        <v>400</v>
      </c>
      <c r="BD9" t="s">
        <v>401</v>
      </c>
      <c r="BE9" t="s">
        <v>402</v>
      </c>
      <c r="BI9" t="s">
        <v>403</v>
      </c>
      <c r="BJ9" t="s">
        <v>404</v>
      </c>
      <c r="BK9" s="5" t="s">
        <v>405</v>
      </c>
      <c r="BN9" s="10" t="s">
        <v>406</v>
      </c>
      <c r="BO9" s="76" t="s">
        <v>3837</v>
      </c>
      <c r="BP9" t="s">
        <v>407</v>
      </c>
      <c r="BS9" s="5" t="s">
        <v>408</v>
      </c>
      <c r="BV9" s="21" t="s">
        <v>3458</v>
      </c>
      <c r="BW9" s="21" t="s">
        <v>3478</v>
      </c>
      <c r="BX9" s="21" t="s">
        <v>3501</v>
      </c>
      <c r="BY9" s="21" t="s">
        <v>3521</v>
      </c>
      <c r="CB9" t="s">
        <v>3580</v>
      </c>
    </row>
    <row r="10" spans="1:80" x14ac:dyDescent="0.25">
      <c r="E10" s="77" t="s">
        <v>350</v>
      </c>
      <c r="G10" s="11" t="s">
        <v>410</v>
      </c>
      <c r="J10" s="11" t="s">
        <v>3907</v>
      </c>
      <c r="M10" t="s">
        <v>412</v>
      </c>
      <c r="N10" s="7" t="s">
        <v>413</v>
      </c>
      <c r="O10" s="8" t="s">
        <v>414</v>
      </c>
      <c r="P10" t="s">
        <v>415</v>
      </c>
      <c r="Q10" t="s">
        <v>416</v>
      </c>
      <c r="R10" t="s">
        <v>417</v>
      </c>
      <c r="S10" t="s">
        <v>418</v>
      </c>
      <c r="Z10" t="s">
        <v>419</v>
      </c>
      <c r="AC10" t="s">
        <v>420</v>
      </c>
      <c r="AD10" t="s">
        <v>421</v>
      </c>
      <c r="AE10" t="s">
        <v>422</v>
      </c>
      <c r="AH10" t="s">
        <v>423</v>
      </c>
      <c r="AI10" s="5" t="s">
        <v>165</v>
      </c>
      <c r="AM10" s="11" t="s">
        <v>3907</v>
      </c>
      <c r="AN10" t="s">
        <v>424</v>
      </c>
      <c r="AO10" t="s">
        <v>425</v>
      </c>
      <c r="AQ10" t="s">
        <v>426</v>
      </c>
      <c r="AR10" t="s">
        <v>427</v>
      </c>
      <c r="AS10" t="s">
        <v>428</v>
      </c>
      <c r="AU10" s="5" t="s">
        <v>165</v>
      </c>
      <c r="AZ10" t="s">
        <v>429</v>
      </c>
      <c r="BA10" t="s">
        <v>430</v>
      </c>
      <c r="BD10" t="s">
        <v>431</v>
      </c>
      <c r="BE10" t="s">
        <v>432</v>
      </c>
      <c r="BI10" t="s">
        <v>433</v>
      </c>
      <c r="BJ10" t="s">
        <v>434</v>
      </c>
      <c r="BK10" s="5" t="s">
        <v>435</v>
      </c>
      <c r="BN10" s="10" t="s">
        <v>436</v>
      </c>
      <c r="BO10" s="76" t="s">
        <v>3838</v>
      </c>
      <c r="BP10" t="s">
        <v>437</v>
      </c>
      <c r="BS10" s="5" t="s">
        <v>438</v>
      </c>
      <c r="BV10" s="21" t="s">
        <v>3459</v>
      </c>
      <c r="BW10" s="21" t="s">
        <v>3479</v>
      </c>
      <c r="BX10" s="21" t="s">
        <v>3502</v>
      </c>
      <c r="BY10" s="21" t="s">
        <v>3522</v>
      </c>
      <c r="CB10" t="s">
        <v>3581</v>
      </c>
    </row>
    <row r="11" spans="1:80" x14ac:dyDescent="0.25">
      <c r="E11" s="77" t="s">
        <v>409</v>
      </c>
      <c r="G11" s="11" t="s">
        <v>440</v>
      </c>
      <c r="J11" s="11" t="s">
        <v>3908</v>
      </c>
      <c r="M11" t="s">
        <v>442</v>
      </c>
      <c r="N11" s="7" t="s">
        <v>443</v>
      </c>
      <c r="O11" s="8" t="s">
        <v>444</v>
      </c>
      <c r="P11" t="s">
        <v>445</v>
      </c>
      <c r="Q11" t="s">
        <v>446</v>
      </c>
      <c r="R11" t="s">
        <v>447</v>
      </c>
      <c r="S11" t="s">
        <v>448</v>
      </c>
      <c r="Z11" t="s">
        <v>449</v>
      </c>
      <c r="AC11" t="s">
        <v>450</v>
      </c>
      <c r="AD11" t="s">
        <v>451</v>
      </c>
      <c r="AE11" t="s">
        <v>452</v>
      </c>
      <c r="AH11" t="s">
        <v>453</v>
      </c>
      <c r="AI11" s="5" t="s">
        <v>165</v>
      </c>
      <c r="AM11" s="11" t="s">
        <v>3908</v>
      </c>
      <c r="AN11" t="s">
        <v>454</v>
      </c>
      <c r="AO11" t="s">
        <v>455</v>
      </c>
      <c r="AQ11" t="s">
        <v>456</v>
      </c>
      <c r="AR11" t="s">
        <v>457</v>
      </c>
      <c r="AS11" t="s">
        <v>458</v>
      </c>
      <c r="AU11" s="5" t="s">
        <v>165</v>
      </c>
      <c r="AZ11" t="s">
        <v>459</v>
      </c>
      <c r="BA11" t="s">
        <v>460</v>
      </c>
      <c r="BD11" t="s">
        <v>461</v>
      </c>
      <c r="BE11" t="s">
        <v>462</v>
      </c>
      <c r="BI11" t="s">
        <v>463</v>
      </c>
      <c r="BJ11" t="s">
        <v>464</v>
      </c>
      <c r="BK11" s="5" t="s">
        <v>465</v>
      </c>
      <c r="BN11" s="10" t="s">
        <v>466</v>
      </c>
      <c r="BO11" s="76" t="s">
        <v>3839</v>
      </c>
      <c r="BP11" t="s">
        <v>467</v>
      </c>
      <c r="BS11" s="5" t="s">
        <v>468</v>
      </c>
      <c r="BV11" s="21" t="s">
        <v>3460</v>
      </c>
      <c r="BW11" s="21" t="s">
        <v>3480</v>
      </c>
      <c r="BX11" s="21" t="s">
        <v>3503</v>
      </c>
      <c r="BY11" s="21" t="s">
        <v>3523</v>
      </c>
      <c r="CB11" t="s">
        <v>3582</v>
      </c>
    </row>
    <row r="12" spans="1:80" x14ac:dyDescent="0.25">
      <c r="E12" s="77" t="s">
        <v>439</v>
      </c>
      <c r="G12" s="11" t="s">
        <v>470</v>
      </c>
      <c r="J12" t="s">
        <v>352</v>
      </c>
      <c r="M12" t="s">
        <v>472</v>
      </c>
      <c r="N12" s="7" t="s">
        <v>473</v>
      </c>
      <c r="O12" s="8" t="s">
        <v>474</v>
      </c>
      <c r="P12" t="s">
        <v>475</v>
      </c>
      <c r="Q12" t="s">
        <v>476</v>
      </c>
      <c r="R12" t="s">
        <v>477</v>
      </c>
      <c r="S12" t="s">
        <v>478</v>
      </c>
      <c r="Z12" t="s">
        <v>479</v>
      </c>
      <c r="AC12" t="s">
        <v>480</v>
      </c>
      <c r="AD12" t="s">
        <v>481</v>
      </c>
      <c r="AE12" t="s">
        <v>482</v>
      </c>
      <c r="AI12" s="5" t="s">
        <v>165</v>
      </c>
      <c r="AN12" t="s">
        <v>483</v>
      </c>
      <c r="AO12" t="s">
        <v>484</v>
      </c>
      <c r="AQ12" t="s">
        <v>485</v>
      </c>
      <c r="AR12" t="s">
        <v>486</v>
      </c>
      <c r="AS12" t="s">
        <v>487</v>
      </c>
      <c r="AU12" s="5" t="s">
        <v>165</v>
      </c>
      <c r="AZ12" t="s">
        <v>488</v>
      </c>
      <c r="BA12" t="s">
        <v>489</v>
      </c>
      <c r="BD12" t="s">
        <v>490</v>
      </c>
      <c r="BE12" t="s">
        <v>491</v>
      </c>
      <c r="BI12" t="s">
        <v>492</v>
      </c>
      <c r="BK12" s="5" t="s">
        <v>493</v>
      </c>
      <c r="BN12" s="10" t="s">
        <v>494</v>
      </c>
      <c r="BO12" s="76" t="s">
        <v>3840</v>
      </c>
      <c r="BP12" t="s">
        <v>495</v>
      </c>
      <c r="BS12" s="5" t="s">
        <v>496</v>
      </c>
      <c r="BV12" s="21" t="s">
        <v>3461</v>
      </c>
      <c r="BW12" s="21" t="s">
        <v>3481</v>
      </c>
      <c r="BX12" s="21" t="s">
        <v>3504</v>
      </c>
      <c r="BY12" s="21" t="s">
        <v>3524</v>
      </c>
      <c r="CB12" t="s">
        <v>3583</v>
      </c>
    </row>
    <row r="13" spans="1:80" x14ac:dyDescent="0.25">
      <c r="E13" s="77" t="s">
        <v>469</v>
      </c>
      <c r="G13" s="11" t="s">
        <v>498</v>
      </c>
      <c r="J13" t="s">
        <v>383</v>
      </c>
      <c r="M13" t="s">
        <v>500</v>
      </c>
      <c r="N13" s="7" t="s">
        <v>501</v>
      </c>
      <c r="O13" s="8" t="s">
        <v>502</v>
      </c>
      <c r="P13" t="s">
        <v>503</v>
      </c>
      <c r="Q13" t="s">
        <v>504</v>
      </c>
      <c r="R13" t="s">
        <v>505</v>
      </c>
      <c r="S13" t="s">
        <v>506</v>
      </c>
      <c r="Z13" t="s">
        <v>507</v>
      </c>
      <c r="AD13" t="s">
        <v>508</v>
      </c>
      <c r="AE13" t="s">
        <v>509</v>
      </c>
      <c r="AN13" t="s">
        <v>510</v>
      </c>
      <c r="AO13" t="s">
        <v>511</v>
      </c>
      <c r="AQ13" t="s">
        <v>512</v>
      </c>
      <c r="AR13" t="s">
        <v>513</v>
      </c>
      <c r="AS13" t="s">
        <v>514</v>
      </c>
      <c r="AU13" s="5" t="s">
        <v>165</v>
      </c>
      <c r="AZ13" t="s">
        <v>515</v>
      </c>
      <c r="BA13" t="s">
        <v>516</v>
      </c>
      <c r="BD13" t="s">
        <v>517</v>
      </c>
      <c r="BE13" t="s">
        <v>518</v>
      </c>
      <c r="BI13" t="s">
        <v>519</v>
      </c>
      <c r="BK13" s="5" t="s">
        <v>520</v>
      </c>
      <c r="BN13" s="10" t="s">
        <v>521</v>
      </c>
      <c r="BO13" s="76" t="s">
        <v>3841</v>
      </c>
      <c r="BP13" t="s">
        <v>522</v>
      </c>
      <c r="BS13" s="5" t="s">
        <v>523</v>
      </c>
      <c r="BV13" s="21" t="s">
        <v>3462</v>
      </c>
      <c r="BW13" s="21" t="s">
        <v>3482</v>
      </c>
      <c r="BX13" s="21" t="s">
        <v>3505</v>
      </c>
      <c r="BY13" s="22" t="s">
        <v>3510</v>
      </c>
      <c r="CB13" t="s">
        <v>3584</v>
      </c>
    </row>
    <row r="14" spans="1:80" x14ac:dyDescent="0.25">
      <c r="E14" s="77" t="s">
        <v>497</v>
      </c>
      <c r="J14" t="s">
        <v>411</v>
      </c>
      <c r="M14" t="s">
        <v>526</v>
      </c>
      <c r="N14" s="7" t="s">
        <v>527</v>
      </c>
      <c r="O14" s="8" t="s">
        <v>528</v>
      </c>
      <c r="P14" t="s">
        <v>529</v>
      </c>
      <c r="Q14" t="s">
        <v>530</v>
      </c>
      <c r="R14" t="s">
        <v>531</v>
      </c>
      <c r="S14" t="s">
        <v>532</v>
      </c>
      <c r="Z14" t="s">
        <v>533</v>
      </c>
      <c r="AD14" t="s">
        <v>534</v>
      </c>
      <c r="AE14" t="s">
        <v>535</v>
      </c>
      <c r="AN14" t="s">
        <v>536</v>
      </c>
      <c r="AO14" t="s">
        <v>537</v>
      </c>
      <c r="AQ14" t="s">
        <v>538</v>
      </c>
      <c r="AR14" t="s">
        <v>539</v>
      </c>
      <c r="AS14" t="s">
        <v>540</v>
      </c>
      <c r="AU14" s="5" t="s">
        <v>165</v>
      </c>
      <c r="AZ14" t="s">
        <v>541</v>
      </c>
      <c r="BA14" t="s">
        <v>542</v>
      </c>
      <c r="BD14" t="s">
        <v>543</v>
      </c>
      <c r="BE14" t="s">
        <v>544</v>
      </c>
      <c r="BI14" t="s">
        <v>545</v>
      </c>
      <c r="BJ14" t="s">
        <v>165</v>
      </c>
      <c r="BK14" s="5" t="s">
        <v>546</v>
      </c>
      <c r="BN14" s="10" t="s">
        <v>547</v>
      </c>
      <c r="BP14" t="s">
        <v>548</v>
      </c>
      <c r="BS14" s="5" t="s">
        <v>549</v>
      </c>
      <c r="BV14" s="21" t="s">
        <v>3463</v>
      </c>
      <c r="BW14" s="21" t="s">
        <v>3483</v>
      </c>
      <c r="BX14" s="21" t="s">
        <v>3506</v>
      </c>
      <c r="BY14" s="21" t="s">
        <v>3525</v>
      </c>
      <c r="CB14" t="s">
        <v>3585</v>
      </c>
    </row>
    <row r="15" spans="1:80" x14ac:dyDescent="0.25">
      <c r="E15" s="77" t="s">
        <v>524</v>
      </c>
      <c r="J15" t="s">
        <v>441</v>
      </c>
      <c r="M15" t="s">
        <v>551</v>
      </c>
      <c r="N15" s="7" t="s">
        <v>552</v>
      </c>
      <c r="O15" s="8" t="s">
        <v>553</v>
      </c>
      <c r="P15" t="s">
        <v>554</v>
      </c>
      <c r="Q15" t="s">
        <v>555</v>
      </c>
      <c r="R15" t="s">
        <v>556</v>
      </c>
      <c r="S15" t="s">
        <v>557</v>
      </c>
      <c r="Z15" t="s">
        <v>558</v>
      </c>
      <c r="AD15" t="s">
        <v>559</v>
      </c>
      <c r="AE15" t="s">
        <v>560</v>
      </c>
      <c r="AN15" t="s">
        <v>561</v>
      </c>
      <c r="AO15" t="s">
        <v>562</v>
      </c>
      <c r="AQ15" t="s">
        <v>563</v>
      </c>
      <c r="AR15" t="s">
        <v>564</v>
      </c>
      <c r="AZ15" t="s">
        <v>565</v>
      </c>
      <c r="BA15" t="s">
        <v>566</v>
      </c>
      <c r="BD15" t="s">
        <v>567</v>
      </c>
      <c r="BE15" t="s">
        <v>568</v>
      </c>
      <c r="BI15" t="s">
        <v>569</v>
      </c>
      <c r="BK15" s="5" t="s">
        <v>570</v>
      </c>
      <c r="BN15" s="10" t="s">
        <v>571</v>
      </c>
      <c r="BP15" t="s">
        <v>572</v>
      </c>
      <c r="BS15" s="5" t="s">
        <v>573</v>
      </c>
      <c r="BV15" s="21" t="s">
        <v>3464</v>
      </c>
      <c r="BW15" s="21" t="s">
        <v>3484</v>
      </c>
      <c r="BX15" s="21" t="s">
        <v>3507</v>
      </c>
      <c r="BY15" s="21" t="s">
        <v>3526</v>
      </c>
      <c r="CB15" t="s">
        <v>3586</v>
      </c>
    </row>
    <row r="16" spans="1:80" x14ac:dyDescent="0.25">
      <c r="J16" t="s">
        <v>471</v>
      </c>
      <c r="M16" t="s">
        <v>575</v>
      </c>
      <c r="N16" s="7" t="s">
        <v>576</v>
      </c>
      <c r="O16" s="8" t="s">
        <v>577</v>
      </c>
      <c r="P16" t="s">
        <v>578</v>
      </c>
      <c r="Q16" t="s">
        <v>579</v>
      </c>
      <c r="R16" t="s">
        <v>580</v>
      </c>
      <c r="S16" t="s">
        <v>581</v>
      </c>
      <c r="Z16" t="s">
        <v>582</v>
      </c>
      <c r="AD16" t="s">
        <v>583</v>
      </c>
      <c r="AN16" t="s">
        <v>584</v>
      </c>
      <c r="AO16" t="s">
        <v>511</v>
      </c>
      <c r="AQ16" t="s">
        <v>585</v>
      </c>
      <c r="AZ16" t="s">
        <v>586</v>
      </c>
      <c r="BA16" t="s">
        <v>587</v>
      </c>
      <c r="BD16" t="s">
        <v>588</v>
      </c>
      <c r="BE16" t="s">
        <v>589</v>
      </c>
      <c r="BI16" t="s">
        <v>590</v>
      </c>
      <c r="BK16" s="5" t="s">
        <v>591</v>
      </c>
      <c r="BN16" s="10" t="s">
        <v>592</v>
      </c>
      <c r="BS16" s="5" t="s">
        <v>593</v>
      </c>
      <c r="BV16" s="21" t="s">
        <v>3465</v>
      </c>
      <c r="BW16" s="21" t="s">
        <v>3485</v>
      </c>
      <c r="BX16" s="21" t="s">
        <v>3508</v>
      </c>
      <c r="BY16" s="21" t="s">
        <v>3527</v>
      </c>
      <c r="CB16" t="s">
        <v>3587</v>
      </c>
    </row>
    <row r="17" spans="10:80" x14ac:dyDescent="0.25">
      <c r="J17" t="s">
        <v>499</v>
      </c>
      <c r="M17" t="s">
        <v>595</v>
      </c>
      <c r="N17" s="7" t="s">
        <v>596</v>
      </c>
      <c r="O17" s="8" t="s">
        <v>597</v>
      </c>
      <c r="P17" s="5"/>
      <c r="Q17" t="s">
        <v>598</v>
      </c>
      <c r="R17" t="s">
        <v>599</v>
      </c>
      <c r="S17" t="s">
        <v>600</v>
      </c>
      <c r="Z17" t="s">
        <v>601</v>
      </c>
      <c r="AD17" t="s">
        <v>602</v>
      </c>
      <c r="AN17" t="s">
        <v>603</v>
      </c>
      <c r="AO17" t="s">
        <v>604</v>
      </c>
      <c r="AQ17" t="s">
        <v>605</v>
      </c>
      <c r="AZ17" t="s">
        <v>606</v>
      </c>
      <c r="BD17" t="s">
        <v>607</v>
      </c>
      <c r="BE17" t="s">
        <v>608</v>
      </c>
      <c r="BI17" t="s">
        <v>609</v>
      </c>
      <c r="BK17" s="5" t="s">
        <v>610</v>
      </c>
      <c r="BN17" s="10" t="s">
        <v>611</v>
      </c>
      <c r="BS17" s="5" t="s">
        <v>612</v>
      </c>
      <c r="BV17" s="21" t="s">
        <v>3466</v>
      </c>
      <c r="BW17" s="21" t="s">
        <v>3486</v>
      </c>
      <c r="BX17" s="21" t="s">
        <v>3509</v>
      </c>
      <c r="BY17" s="21" t="s">
        <v>3528</v>
      </c>
      <c r="CB17" t="s">
        <v>3588</v>
      </c>
    </row>
    <row r="18" spans="10:80" x14ac:dyDescent="0.25">
      <c r="J18" t="s">
        <v>525</v>
      </c>
      <c r="M18" t="s">
        <v>614</v>
      </c>
      <c r="N18" s="7" t="s">
        <v>615</v>
      </c>
      <c r="O18" s="8" t="s">
        <v>616</v>
      </c>
      <c r="Q18" t="s">
        <v>617</v>
      </c>
      <c r="R18" t="s">
        <v>618</v>
      </c>
      <c r="S18" t="s">
        <v>619</v>
      </c>
      <c r="Z18" t="s">
        <v>620</v>
      </c>
      <c r="AD18" t="s">
        <v>621</v>
      </c>
      <c r="AN18" t="s">
        <v>622</v>
      </c>
      <c r="AO18" t="s">
        <v>623</v>
      </c>
      <c r="AQ18" t="s">
        <v>624</v>
      </c>
      <c r="AZ18" t="s">
        <v>625</v>
      </c>
      <c r="BD18" t="s">
        <v>626</v>
      </c>
      <c r="BE18" t="s">
        <v>627</v>
      </c>
      <c r="BI18" t="s">
        <v>628</v>
      </c>
      <c r="BK18" s="5" t="s">
        <v>629</v>
      </c>
      <c r="BN18" s="10" t="s">
        <v>630</v>
      </c>
      <c r="BS18" s="5" t="s">
        <v>631</v>
      </c>
      <c r="BV18" s="21" t="s">
        <v>3467</v>
      </c>
      <c r="BW18" s="21" t="s">
        <v>3487</v>
      </c>
      <c r="BX18" s="21" t="s">
        <v>3510</v>
      </c>
      <c r="BY18" s="21" t="s">
        <v>3529</v>
      </c>
      <c r="CB18" t="s">
        <v>3589</v>
      </c>
    </row>
    <row r="19" spans="10:80" x14ac:dyDescent="0.25">
      <c r="J19" t="s">
        <v>550</v>
      </c>
      <c r="M19" t="s">
        <v>633</v>
      </c>
      <c r="N19" s="7" t="s">
        <v>634</v>
      </c>
      <c r="O19" s="8" t="s">
        <v>146</v>
      </c>
      <c r="Q19" t="s">
        <v>635</v>
      </c>
      <c r="R19" t="s">
        <v>636</v>
      </c>
      <c r="S19" t="s">
        <v>637</v>
      </c>
      <c r="Z19" t="s">
        <v>638</v>
      </c>
      <c r="AD19" t="s">
        <v>639</v>
      </c>
      <c r="AN19" t="s">
        <v>640</v>
      </c>
      <c r="AO19" t="s">
        <v>641</v>
      </c>
      <c r="AZ19" t="s">
        <v>642</v>
      </c>
      <c r="BD19" t="s">
        <v>643</v>
      </c>
      <c r="BE19" t="s">
        <v>644</v>
      </c>
      <c r="BI19" t="s">
        <v>645</v>
      </c>
      <c r="BK19" s="5" t="s">
        <v>646</v>
      </c>
      <c r="BN19" s="10" t="s">
        <v>647</v>
      </c>
      <c r="BS19" s="5" t="s">
        <v>648</v>
      </c>
      <c r="BV19" s="21" t="s">
        <v>3468</v>
      </c>
      <c r="BW19" s="21" t="s">
        <v>3488</v>
      </c>
      <c r="BX19" s="21" t="s">
        <v>3511</v>
      </c>
      <c r="CB19" t="s">
        <v>3590</v>
      </c>
    </row>
    <row r="20" spans="10:80" x14ac:dyDescent="0.25">
      <c r="J20" t="s">
        <v>574</v>
      </c>
      <c r="M20" t="s">
        <v>144</v>
      </c>
      <c r="N20" s="7" t="s">
        <v>145</v>
      </c>
      <c r="O20" s="8" t="s">
        <v>650</v>
      </c>
      <c r="Q20" t="s">
        <v>651</v>
      </c>
      <c r="R20" t="s">
        <v>652</v>
      </c>
      <c r="S20" t="s">
        <v>653</v>
      </c>
      <c r="Z20" t="s">
        <v>654</v>
      </c>
      <c r="AD20" t="s">
        <v>655</v>
      </c>
      <c r="AN20" t="s">
        <v>656</v>
      </c>
      <c r="AO20" t="s">
        <v>537</v>
      </c>
      <c r="AZ20" t="s">
        <v>657</v>
      </c>
      <c r="BD20" t="s">
        <v>658</v>
      </c>
      <c r="BE20" t="s">
        <v>659</v>
      </c>
      <c r="BI20" t="s">
        <v>660</v>
      </c>
      <c r="BK20" s="5" t="s">
        <v>661</v>
      </c>
      <c r="BN20" s="10" t="s">
        <v>662</v>
      </c>
      <c r="BS20" s="5" t="s">
        <v>663</v>
      </c>
      <c r="BV20" s="21" t="s">
        <v>3469</v>
      </c>
      <c r="BW20" s="21" t="s">
        <v>3489</v>
      </c>
      <c r="BX20" s="21" t="s">
        <v>3512</v>
      </c>
      <c r="CB20" t="s">
        <v>3591</v>
      </c>
    </row>
    <row r="21" spans="10:80" x14ac:dyDescent="0.25">
      <c r="J21" t="s">
        <v>594</v>
      </c>
      <c r="M21" t="s">
        <v>665</v>
      </c>
      <c r="N21" s="7" t="s">
        <v>666</v>
      </c>
      <c r="O21" s="8" t="s">
        <v>667</v>
      </c>
      <c r="Q21" t="s">
        <v>668</v>
      </c>
      <c r="R21" t="s">
        <v>669</v>
      </c>
      <c r="S21" t="s">
        <v>670</v>
      </c>
      <c r="Z21" t="s">
        <v>671</v>
      </c>
      <c r="AD21" t="s">
        <v>672</v>
      </c>
      <c r="AN21" t="s">
        <v>673</v>
      </c>
      <c r="AO21" t="s">
        <v>674</v>
      </c>
      <c r="AZ21" t="s">
        <v>675</v>
      </c>
      <c r="BD21" t="s">
        <v>676</v>
      </c>
      <c r="BE21" t="s">
        <v>677</v>
      </c>
      <c r="BI21" t="s">
        <v>678</v>
      </c>
      <c r="BK21" s="5" t="s">
        <v>679</v>
      </c>
      <c r="BN21" s="10" t="s">
        <v>680</v>
      </c>
      <c r="BS21" s="5" t="s">
        <v>681</v>
      </c>
      <c r="BW21" s="21" t="s">
        <v>3490</v>
      </c>
      <c r="BX21" s="21" t="s">
        <v>3513</v>
      </c>
      <c r="CB21" t="s">
        <v>3592</v>
      </c>
    </row>
    <row r="22" spans="10:80" x14ac:dyDescent="0.25">
      <c r="J22" t="s">
        <v>613</v>
      </c>
      <c r="M22" t="s">
        <v>683</v>
      </c>
      <c r="N22" s="7" t="s">
        <v>684</v>
      </c>
      <c r="O22" s="8" t="s">
        <v>685</v>
      </c>
      <c r="Q22" t="s">
        <v>686</v>
      </c>
      <c r="R22" t="s">
        <v>687</v>
      </c>
      <c r="S22" t="s">
        <v>688</v>
      </c>
      <c r="Z22" t="s">
        <v>689</v>
      </c>
      <c r="AD22" t="s">
        <v>690</v>
      </c>
      <c r="AN22" t="s">
        <v>691</v>
      </c>
      <c r="AO22" t="s">
        <v>692</v>
      </c>
      <c r="AZ22" t="s">
        <v>693</v>
      </c>
      <c r="BD22" t="s">
        <v>694</v>
      </c>
      <c r="BE22" t="s">
        <v>695</v>
      </c>
      <c r="BI22" t="s">
        <v>696</v>
      </c>
      <c r="BK22" s="5" t="s">
        <v>697</v>
      </c>
      <c r="BN22" s="10" t="s">
        <v>698</v>
      </c>
      <c r="BS22" s="5" t="s">
        <v>699</v>
      </c>
      <c r="BW22" s="21" t="s">
        <v>3491</v>
      </c>
      <c r="BX22" s="21" t="s">
        <v>3514</v>
      </c>
      <c r="CB22" t="s">
        <v>3593</v>
      </c>
    </row>
    <row r="23" spans="10:80" x14ac:dyDescent="0.25">
      <c r="J23" t="s">
        <v>632</v>
      </c>
      <c r="M23" t="s">
        <v>701</v>
      </c>
      <c r="N23" s="7" t="s">
        <v>702</v>
      </c>
      <c r="O23" s="8" t="s">
        <v>703</v>
      </c>
      <c r="Q23" t="s">
        <v>704</v>
      </c>
      <c r="R23" t="s">
        <v>705</v>
      </c>
      <c r="S23" t="s">
        <v>706</v>
      </c>
      <c r="AD23" t="s">
        <v>707</v>
      </c>
      <c r="AN23" t="s">
        <v>708</v>
      </c>
      <c r="AO23" t="s">
        <v>709</v>
      </c>
      <c r="AZ23" t="s">
        <v>710</v>
      </c>
      <c r="BD23" t="s">
        <v>711</v>
      </c>
      <c r="BE23" t="s">
        <v>712</v>
      </c>
      <c r="BI23" t="s">
        <v>713</v>
      </c>
      <c r="BK23" s="5" t="s">
        <v>714</v>
      </c>
      <c r="BN23" s="10" t="s">
        <v>715</v>
      </c>
      <c r="BS23" s="5" t="s">
        <v>716</v>
      </c>
      <c r="BW23" s="21" t="s">
        <v>3492</v>
      </c>
      <c r="BX23" s="21" t="s">
        <v>3515</v>
      </c>
      <c r="CB23" t="s">
        <v>3594</v>
      </c>
    </row>
    <row r="24" spans="10:80" x14ac:dyDescent="0.25">
      <c r="J24" t="s">
        <v>649</v>
      </c>
      <c r="M24" t="s">
        <v>718</v>
      </c>
      <c r="N24" s="7" t="s">
        <v>719</v>
      </c>
      <c r="O24" s="8" t="s">
        <v>720</v>
      </c>
      <c r="Q24" t="s">
        <v>721</v>
      </c>
      <c r="R24" t="s">
        <v>722</v>
      </c>
      <c r="S24" t="s">
        <v>723</v>
      </c>
      <c r="AD24" t="s">
        <v>724</v>
      </c>
      <c r="AN24" t="s">
        <v>725</v>
      </c>
      <c r="AO24" t="s">
        <v>726</v>
      </c>
      <c r="AZ24" t="s">
        <v>727</v>
      </c>
      <c r="BD24" t="s">
        <v>728</v>
      </c>
      <c r="BE24" t="s">
        <v>729</v>
      </c>
      <c r="BI24" t="s">
        <v>730</v>
      </c>
      <c r="BK24" s="5" t="s">
        <v>731</v>
      </c>
      <c r="BN24" s="10" t="s">
        <v>732</v>
      </c>
      <c r="BS24" s="5" t="s">
        <v>733</v>
      </c>
      <c r="CB24" t="s">
        <v>3595</v>
      </c>
    </row>
    <row r="25" spans="10:80" x14ac:dyDescent="0.25">
      <c r="J25" t="s">
        <v>664</v>
      </c>
      <c r="M25" t="s">
        <v>735</v>
      </c>
      <c r="N25" s="7" t="s">
        <v>736</v>
      </c>
      <c r="O25" s="8" t="s">
        <v>737</v>
      </c>
      <c r="Q25" t="s">
        <v>738</v>
      </c>
      <c r="R25" t="s">
        <v>739</v>
      </c>
      <c r="S25" t="s">
        <v>740</v>
      </c>
      <c r="AD25" t="s">
        <v>741</v>
      </c>
      <c r="AN25" t="s">
        <v>742</v>
      </c>
      <c r="AO25" t="s">
        <v>743</v>
      </c>
      <c r="AZ25" t="s">
        <v>744</v>
      </c>
      <c r="BD25" t="s">
        <v>745</v>
      </c>
      <c r="BE25" t="s">
        <v>746</v>
      </c>
      <c r="BI25" t="s">
        <v>747</v>
      </c>
      <c r="BK25" s="5" t="s">
        <v>748</v>
      </c>
      <c r="BN25" s="10" t="s">
        <v>749</v>
      </c>
      <c r="BS25" s="5" t="s">
        <v>750</v>
      </c>
      <c r="CB25" t="s">
        <v>3596</v>
      </c>
    </row>
    <row r="26" spans="10:80" x14ac:dyDescent="0.25">
      <c r="J26" t="s">
        <v>682</v>
      </c>
      <c r="M26" t="s">
        <v>752</v>
      </c>
      <c r="N26" s="7" t="s">
        <v>753</v>
      </c>
      <c r="O26" s="8" t="s">
        <v>754</v>
      </c>
      <c r="Q26" t="s">
        <v>755</v>
      </c>
      <c r="R26" t="s">
        <v>756</v>
      </c>
      <c r="S26" t="s">
        <v>757</v>
      </c>
      <c r="AD26" t="s">
        <v>758</v>
      </c>
      <c r="AN26" t="s">
        <v>759</v>
      </c>
      <c r="AO26" t="s">
        <v>623</v>
      </c>
      <c r="AZ26" t="s">
        <v>760</v>
      </c>
      <c r="BD26" t="s">
        <v>761</v>
      </c>
      <c r="BE26" t="s">
        <v>762</v>
      </c>
      <c r="BI26" t="s">
        <v>763</v>
      </c>
      <c r="BK26" s="5" t="s">
        <v>764</v>
      </c>
      <c r="BN26" s="10" t="s">
        <v>765</v>
      </c>
      <c r="BS26" s="5" t="s">
        <v>766</v>
      </c>
      <c r="CB26" t="s">
        <v>3597</v>
      </c>
    </row>
    <row r="27" spans="10:80" x14ac:dyDescent="0.25">
      <c r="J27" t="s">
        <v>700</v>
      </c>
      <c r="M27" t="s">
        <v>768</v>
      </c>
      <c r="N27" s="7" t="s">
        <v>769</v>
      </c>
      <c r="O27" s="8" t="s">
        <v>770</v>
      </c>
      <c r="Q27" t="s">
        <v>771</v>
      </c>
      <c r="R27" t="s">
        <v>772</v>
      </c>
      <c r="S27" t="s">
        <v>773</v>
      </c>
      <c r="AD27" t="s">
        <v>774</v>
      </c>
      <c r="AN27" t="s">
        <v>775</v>
      </c>
      <c r="AO27" t="s">
        <v>692</v>
      </c>
      <c r="AZ27" t="s">
        <v>776</v>
      </c>
      <c r="BD27" t="s">
        <v>777</v>
      </c>
      <c r="BE27" t="s">
        <v>778</v>
      </c>
      <c r="BI27" t="s">
        <v>779</v>
      </c>
      <c r="BK27" s="5" t="s">
        <v>780</v>
      </c>
      <c r="BN27" s="10" t="s">
        <v>781</v>
      </c>
      <c r="BS27" s="5" t="s">
        <v>782</v>
      </c>
      <c r="CB27" t="s">
        <v>3598</v>
      </c>
    </row>
    <row r="28" spans="10:80" x14ac:dyDescent="0.25">
      <c r="J28" t="s">
        <v>717</v>
      </c>
      <c r="M28" t="s">
        <v>784</v>
      </c>
      <c r="N28" s="7" t="s">
        <v>785</v>
      </c>
      <c r="O28" s="8" t="s">
        <v>786</v>
      </c>
      <c r="Q28" t="s">
        <v>787</v>
      </c>
      <c r="R28" t="s">
        <v>788</v>
      </c>
      <c r="S28" t="s">
        <v>789</v>
      </c>
      <c r="AD28" t="s">
        <v>790</v>
      </c>
      <c r="AN28" t="s">
        <v>791</v>
      </c>
      <c r="AO28" t="s">
        <v>709</v>
      </c>
      <c r="AZ28" t="s">
        <v>792</v>
      </c>
      <c r="BD28" t="s">
        <v>793</v>
      </c>
      <c r="BE28" t="s">
        <v>794</v>
      </c>
      <c r="BI28" t="s">
        <v>795</v>
      </c>
      <c r="BK28" s="5" t="s">
        <v>796</v>
      </c>
      <c r="BN28" s="10" t="s">
        <v>797</v>
      </c>
      <c r="BS28" s="5" t="s">
        <v>798</v>
      </c>
      <c r="CB28" t="s">
        <v>3599</v>
      </c>
    </row>
    <row r="29" spans="10:80" x14ac:dyDescent="0.25">
      <c r="J29" t="s">
        <v>734</v>
      </c>
      <c r="M29" t="s">
        <v>800</v>
      </c>
      <c r="N29" s="7" t="s">
        <v>801</v>
      </c>
      <c r="O29" s="8" t="s">
        <v>802</v>
      </c>
      <c r="Q29" t="s">
        <v>803</v>
      </c>
      <c r="R29" t="s">
        <v>804</v>
      </c>
      <c r="S29" t="s">
        <v>805</v>
      </c>
      <c r="AD29" t="s">
        <v>806</v>
      </c>
      <c r="AN29" t="s">
        <v>807</v>
      </c>
      <c r="AO29" t="s">
        <v>726</v>
      </c>
      <c r="AZ29" t="s">
        <v>113</v>
      </c>
      <c r="BD29" t="s">
        <v>808</v>
      </c>
      <c r="BE29" t="s">
        <v>809</v>
      </c>
      <c r="BI29" t="s">
        <v>810</v>
      </c>
      <c r="BK29" s="5" t="s">
        <v>811</v>
      </c>
      <c r="BN29" s="10" t="s">
        <v>812</v>
      </c>
      <c r="BS29" t="s">
        <v>813</v>
      </c>
      <c r="CB29" t="s">
        <v>3600</v>
      </c>
    </row>
    <row r="30" spans="10:80" x14ac:dyDescent="0.25">
      <c r="J30" t="s">
        <v>751</v>
      </c>
      <c r="M30" t="s">
        <v>815</v>
      </c>
      <c r="N30" s="7" t="s">
        <v>816</v>
      </c>
      <c r="O30" s="8" t="s">
        <v>817</v>
      </c>
      <c r="Q30" t="s">
        <v>818</v>
      </c>
      <c r="R30" t="s">
        <v>819</v>
      </c>
      <c r="S30" t="s">
        <v>820</v>
      </c>
      <c r="AD30" t="s">
        <v>821</v>
      </c>
      <c r="AN30" t="s">
        <v>822</v>
      </c>
      <c r="AO30" t="s">
        <v>823</v>
      </c>
      <c r="AZ30" t="s">
        <v>824</v>
      </c>
      <c r="BD30" t="s">
        <v>825</v>
      </c>
      <c r="BE30" t="s">
        <v>826</v>
      </c>
      <c r="BI30" t="s">
        <v>827</v>
      </c>
      <c r="BK30" s="5" t="s">
        <v>828</v>
      </c>
      <c r="BN30" s="10" t="s">
        <v>829</v>
      </c>
      <c r="BS30" t="s">
        <v>813</v>
      </c>
      <c r="CB30" t="s">
        <v>3601</v>
      </c>
    </row>
    <row r="31" spans="10:80" x14ac:dyDescent="0.25">
      <c r="J31" t="s">
        <v>767</v>
      </c>
      <c r="M31" t="s">
        <v>831</v>
      </c>
      <c r="N31" s="7" t="s">
        <v>832</v>
      </c>
      <c r="O31" s="8" t="s">
        <v>833</v>
      </c>
      <c r="R31" t="s">
        <v>834</v>
      </c>
      <c r="S31" t="s">
        <v>835</v>
      </c>
      <c r="AD31" t="s">
        <v>836</v>
      </c>
      <c r="AN31" t="s">
        <v>837</v>
      </c>
      <c r="AO31" t="s">
        <v>838</v>
      </c>
      <c r="AZ31" t="s">
        <v>839</v>
      </c>
      <c r="BD31" t="s">
        <v>840</v>
      </c>
      <c r="BE31" t="s">
        <v>841</v>
      </c>
      <c r="BI31" t="s">
        <v>842</v>
      </c>
      <c r="BN31" s="10" t="s">
        <v>843</v>
      </c>
      <c r="BS31" t="s">
        <v>813</v>
      </c>
      <c r="CB31" t="s">
        <v>3602</v>
      </c>
    </row>
    <row r="32" spans="10:80" x14ac:dyDescent="0.25">
      <c r="J32" t="s">
        <v>783</v>
      </c>
      <c r="M32" t="s">
        <v>845</v>
      </c>
      <c r="N32" s="7" t="s">
        <v>846</v>
      </c>
      <c r="O32" s="8" t="s">
        <v>847</v>
      </c>
      <c r="R32" t="s">
        <v>848</v>
      </c>
      <c r="S32" t="s">
        <v>849</v>
      </c>
      <c r="AD32" t="s">
        <v>850</v>
      </c>
      <c r="AN32" t="s">
        <v>851</v>
      </c>
      <c r="AO32" t="s">
        <v>852</v>
      </c>
      <c r="AZ32" t="s">
        <v>853</v>
      </c>
      <c r="BD32" t="s">
        <v>854</v>
      </c>
      <c r="BE32" t="s">
        <v>855</v>
      </c>
      <c r="BI32" t="s">
        <v>856</v>
      </c>
      <c r="BN32" s="10" t="s">
        <v>857</v>
      </c>
      <c r="BS32" t="s">
        <v>813</v>
      </c>
      <c r="CB32" t="s">
        <v>3603</v>
      </c>
    </row>
    <row r="33" spans="10:80" x14ac:dyDescent="0.25">
      <c r="J33" t="s">
        <v>799</v>
      </c>
      <c r="M33" t="s">
        <v>859</v>
      </c>
      <c r="N33" s="7" t="s">
        <v>860</v>
      </c>
      <c r="O33" s="8" t="s">
        <v>861</v>
      </c>
      <c r="R33" t="s">
        <v>862</v>
      </c>
      <c r="S33" t="s">
        <v>863</v>
      </c>
      <c r="AD33" t="s">
        <v>864</v>
      </c>
      <c r="AN33" t="s">
        <v>865</v>
      </c>
      <c r="AO33" t="s">
        <v>866</v>
      </c>
      <c r="AZ33" t="s">
        <v>867</v>
      </c>
      <c r="BD33" t="s">
        <v>868</v>
      </c>
      <c r="BE33" t="s">
        <v>869</v>
      </c>
      <c r="BI33" t="s">
        <v>870</v>
      </c>
      <c r="BN33" s="10" t="s">
        <v>871</v>
      </c>
      <c r="BS33" t="s">
        <v>813</v>
      </c>
      <c r="CB33" t="s">
        <v>3604</v>
      </c>
    </row>
    <row r="34" spans="10:80" x14ac:dyDescent="0.25">
      <c r="J34" t="s">
        <v>814</v>
      </c>
      <c r="M34" t="s">
        <v>873</v>
      </c>
      <c r="N34" s="7" t="s">
        <v>874</v>
      </c>
      <c r="O34" s="8" t="s">
        <v>875</v>
      </c>
      <c r="R34" t="s">
        <v>876</v>
      </c>
      <c r="S34" t="s">
        <v>877</v>
      </c>
      <c r="AD34" t="s">
        <v>878</v>
      </c>
      <c r="AN34" t="s">
        <v>879</v>
      </c>
      <c r="AO34" t="s">
        <v>880</v>
      </c>
      <c r="AZ34" t="s">
        <v>881</v>
      </c>
      <c r="BD34" t="s">
        <v>882</v>
      </c>
      <c r="BE34" t="s">
        <v>883</v>
      </c>
      <c r="BI34" t="s">
        <v>884</v>
      </c>
      <c r="BN34" s="10" t="s">
        <v>885</v>
      </c>
      <c r="BS34" t="s">
        <v>813</v>
      </c>
      <c r="CB34" t="s">
        <v>3605</v>
      </c>
    </row>
    <row r="35" spans="10:80" x14ac:dyDescent="0.25">
      <c r="J35" t="s">
        <v>830</v>
      </c>
      <c r="M35" t="s">
        <v>887</v>
      </c>
      <c r="N35" s="7" t="s">
        <v>888</v>
      </c>
      <c r="O35" s="8" t="s">
        <v>889</v>
      </c>
      <c r="P35" t="s">
        <v>165</v>
      </c>
      <c r="R35" t="s">
        <v>890</v>
      </c>
      <c r="S35" t="s">
        <v>891</v>
      </c>
      <c r="AD35" t="s">
        <v>892</v>
      </c>
      <c r="AN35" t="s">
        <v>893</v>
      </c>
      <c r="AO35" t="s">
        <v>894</v>
      </c>
      <c r="AZ35" t="s">
        <v>895</v>
      </c>
      <c r="BD35" t="s">
        <v>896</v>
      </c>
      <c r="BE35" t="s">
        <v>897</v>
      </c>
      <c r="BI35" t="s">
        <v>898</v>
      </c>
      <c r="BN35" s="10" t="s">
        <v>899</v>
      </c>
      <c r="BS35" t="s">
        <v>813</v>
      </c>
      <c r="CB35" t="s">
        <v>3606</v>
      </c>
    </row>
    <row r="36" spans="10:80" x14ac:dyDescent="0.25">
      <c r="J36" t="s">
        <v>844</v>
      </c>
      <c r="M36" t="s">
        <v>901</v>
      </c>
      <c r="N36" s="7" t="s">
        <v>902</v>
      </c>
      <c r="O36" s="8" t="s">
        <v>903</v>
      </c>
      <c r="P36" t="s">
        <v>165</v>
      </c>
      <c r="R36" t="s">
        <v>904</v>
      </c>
      <c r="S36" t="s">
        <v>905</v>
      </c>
      <c r="AD36" t="s">
        <v>906</v>
      </c>
      <c r="AN36" t="s">
        <v>907</v>
      </c>
      <c r="AO36" t="s">
        <v>908</v>
      </c>
      <c r="AZ36" t="s">
        <v>909</v>
      </c>
      <c r="BD36" t="s">
        <v>910</v>
      </c>
      <c r="BE36" t="s">
        <v>911</v>
      </c>
      <c r="BI36" t="s">
        <v>912</v>
      </c>
      <c r="BN36" s="10" t="s">
        <v>913</v>
      </c>
      <c r="BS36" t="s">
        <v>813</v>
      </c>
      <c r="CB36" t="s">
        <v>3607</v>
      </c>
    </row>
    <row r="37" spans="10:80" x14ac:dyDescent="0.25">
      <c r="J37" t="s">
        <v>858</v>
      </c>
      <c r="M37" t="s">
        <v>915</v>
      </c>
      <c r="N37" s="7" t="s">
        <v>916</v>
      </c>
      <c r="O37" s="8" t="s">
        <v>917</v>
      </c>
      <c r="P37" t="s">
        <v>165</v>
      </c>
      <c r="R37" t="s">
        <v>918</v>
      </c>
      <c r="S37" t="s">
        <v>919</v>
      </c>
      <c r="AD37" t="s">
        <v>920</v>
      </c>
      <c r="AN37" t="s">
        <v>921</v>
      </c>
      <c r="AO37" t="s">
        <v>922</v>
      </c>
      <c r="AZ37" t="s">
        <v>923</v>
      </c>
      <c r="BD37" t="s">
        <v>924</v>
      </c>
      <c r="BE37" t="s">
        <v>925</v>
      </c>
      <c r="BI37" t="s">
        <v>926</v>
      </c>
      <c r="BN37" s="10" t="s">
        <v>927</v>
      </c>
      <c r="BS37" t="s">
        <v>813</v>
      </c>
      <c r="CB37" t="s">
        <v>3608</v>
      </c>
    </row>
    <row r="38" spans="10:80" x14ac:dyDescent="0.25">
      <c r="J38" t="s">
        <v>872</v>
      </c>
      <c r="M38" t="s">
        <v>929</v>
      </c>
      <c r="N38" s="7" t="s">
        <v>930</v>
      </c>
      <c r="O38" s="8" t="s">
        <v>931</v>
      </c>
      <c r="P38" t="s">
        <v>165</v>
      </c>
      <c r="R38" t="s">
        <v>932</v>
      </c>
      <c r="S38" t="s">
        <v>933</v>
      </c>
      <c r="AD38" t="s">
        <v>934</v>
      </c>
      <c r="AN38" t="s">
        <v>935</v>
      </c>
      <c r="AO38" t="s">
        <v>936</v>
      </c>
      <c r="AZ38" t="s">
        <v>937</v>
      </c>
      <c r="BD38" t="s">
        <v>938</v>
      </c>
      <c r="BE38" t="s">
        <v>939</v>
      </c>
      <c r="BI38" t="s">
        <v>940</v>
      </c>
      <c r="BN38" s="10" t="s">
        <v>941</v>
      </c>
      <c r="BS38" t="s">
        <v>813</v>
      </c>
      <c r="CB38" t="s">
        <v>3609</v>
      </c>
    </row>
    <row r="39" spans="10:80" x14ac:dyDescent="0.25">
      <c r="J39" t="s">
        <v>886</v>
      </c>
      <c r="M39" t="s">
        <v>943</v>
      </c>
      <c r="N39" s="7" t="s">
        <v>944</v>
      </c>
      <c r="O39" s="8" t="s">
        <v>945</v>
      </c>
      <c r="P39" t="s">
        <v>165</v>
      </c>
      <c r="R39" t="s">
        <v>946</v>
      </c>
      <c r="S39" t="s">
        <v>947</v>
      </c>
      <c r="AN39" t="s">
        <v>948</v>
      </c>
      <c r="AO39" t="s">
        <v>949</v>
      </c>
      <c r="AZ39" t="s">
        <v>950</v>
      </c>
      <c r="BD39" t="s">
        <v>951</v>
      </c>
      <c r="BE39" t="s">
        <v>952</v>
      </c>
      <c r="BI39" t="s">
        <v>953</v>
      </c>
      <c r="BN39" s="10" t="s">
        <v>954</v>
      </c>
      <c r="BS39" t="s">
        <v>813</v>
      </c>
      <c r="CB39" t="s">
        <v>3610</v>
      </c>
    </row>
    <row r="40" spans="10:80" x14ac:dyDescent="0.25">
      <c r="J40" t="s">
        <v>900</v>
      </c>
      <c r="M40" t="s">
        <v>956</v>
      </c>
      <c r="N40" s="7" t="s">
        <v>957</v>
      </c>
      <c r="O40" s="8" t="s">
        <v>958</v>
      </c>
      <c r="P40" t="s">
        <v>165</v>
      </c>
      <c r="R40" t="s">
        <v>959</v>
      </c>
      <c r="S40" t="s">
        <v>960</v>
      </c>
      <c r="AN40" t="s">
        <v>961</v>
      </c>
      <c r="AO40" t="s">
        <v>962</v>
      </c>
      <c r="AZ40" t="s">
        <v>963</v>
      </c>
      <c r="BD40" t="s">
        <v>964</v>
      </c>
      <c r="BE40" t="s">
        <v>965</v>
      </c>
      <c r="BI40" t="s">
        <v>966</v>
      </c>
      <c r="BN40" s="10" t="s">
        <v>967</v>
      </c>
      <c r="BS40" t="s">
        <v>813</v>
      </c>
      <c r="CB40" t="s">
        <v>3611</v>
      </c>
    </row>
    <row r="41" spans="10:80" x14ac:dyDescent="0.25">
      <c r="J41" t="s">
        <v>914</v>
      </c>
      <c r="M41" t="s">
        <v>969</v>
      </c>
      <c r="N41" s="7" t="s">
        <v>970</v>
      </c>
      <c r="O41" s="8" t="s">
        <v>971</v>
      </c>
      <c r="P41" t="s">
        <v>165</v>
      </c>
      <c r="R41" t="s">
        <v>972</v>
      </c>
      <c r="S41" t="s">
        <v>973</v>
      </c>
      <c r="AN41" t="s">
        <v>974</v>
      </c>
      <c r="AO41" t="s">
        <v>975</v>
      </c>
      <c r="AZ41" t="s">
        <v>976</v>
      </c>
      <c r="BD41" t="s">
        <v>977</v>
      </c>
      <c r="BI41" t="s">
        <v>978</v>
      </c>
      <c r="BN41" s="10" t="s">
        <v>979</v>
      </c>
      <c r="BS41" t="s">
        <v>813</v>
      </c>
      <c r="CB41" t="s">
        <v>3612</v>
      </c>
    </row>
    <row r="42" spans="10:80" x14ac:dyDescent="0.25">
      <c r="J42" t="s">
        <v>928</v>
      </c>
      <c r="M42" t="s">
        <v>981</v>
      </c>
      <c r="N42" s="7" t="s">
        <v>982</v>
      </c>
      <c r="O42" s="8" t="s">
        <v>983</v>
      </c>
      <c r="R42" t="s">
        <v>984</v>
      </c>
      <c r="S42" t="s">
        <v>985</v>
      </c>
      <c r="AN42" t="s">
        <v>986</v>
      </c>
      <c r="AO42" t="s">
        <v>987</v>
      </c>
      <c r="AZ42" t="s">
        <v>988</v>
      </c>
      <c r="BD42" t="s">
        <v>989</v>
      </c>
      <c r="BI42" t="s">
        <v>990</v>
      </c>
      <c r="BN42" s="10" t="s">
        <v>991</v>
      </c>
      <c r="BS42" t="s">
        <v>813</v>
      </c>
      <c r="CB42" t="s">
        <v>3613</v>
      </c>
    </row>
    <row r="43" spans="10:80" x14ac:dyDescent="0.25">
      <c r="J43" t="s">
        <v>942</v>
      </c>
      <c r="M43" t="s">
        <v>993</v>
      </c>
      <c r="N43" s="7" t="s">
        <v>994</v>
      </c>
      <c r="O43" s="8" t="s">
        <v>995</v>
      </c>
      <c r="R43" t="s">
        <v>996</v>
      </c>
      <c r="S43" t="s">
        <v>997</v>
      </c>
      <c r="AN43" t="s">
        <v>998</v>
      </c>
      <c r="AO43" t="s">
        <v>999</v>
      </c>
      <c r="AZ43" t="s">
        <v>1000</v>
      </c>
      <c r="BD43" t="s">
        <v>1001</v>
      </c>
      <c r="BI43" t="s">
        <v>1002</v>
      </c>
      <c r="BN43" s="10" t="s">
        <v>1003</v>
      </c>
      <c r="BS43" t="s">
        <v>813</v>
      </c>
      <c r="CB43" t="s">
        <v>3614</v>
      </c>
    </row>
    <row r="44" spans="10:80" x14ac:dyDescent="0.25">
      <c r="J44" t="s">
        <v>955</v>
      </c>
      <c r="M44" t="s">
        <v>1005</v>
      </c>
      <c r="N44" s="7" t="s">
        <v>1006</v>
      </c>
      <c r="O44" s="8" t="s">
        <v>201</v>
      </c>
      <c r="R44" t="s">
        <v>1007</v>
      </c>
      <c r="S44" t="s">
        <v>1008</v>
      </c>
      <c r="AN44" t="s">
        <v>1009</v>
      </c>
      <c r="AO44" t="s">
        <v>1010</v>
      </c>
      <c r="AZ44" t="s">
        <v>1011</v>
      </c>
      <c r="BD44" t="s">
        <v>1012</v>
      </c>
      <c r="BI44" t="s">
        <v>1013</v>
      </c>
      <c r="BN44" s="10" t="s">
        <v>1014</v>
      </c>
      <c r="BS44" t="s">
        <v>813</v>
      </c>
      <c r="CB44" t="s">
        <v>3615</v>
      </c>
    </row>
    <row r="45" spans="10:80" x14ac:dyDescent="0.25">
      <c r="J45" t="s">
        <v>968</v>
      </c>
      <c r="M45" t="s">
        <v>199</v>
      </c>
      <c r="N45" s="7" t="s">
        <v>200</v>
      </c>
      <c r="O45" s="8" t="s">
        <v>1016</v>
      </c>
      <c r="R45" t="s">
        <v>1017</v>
      </c>
      <c r="S45" t="s">
        <v>1018</v>
      </c>
      <c r="AN45" t="s">
        <v>1019</v>
      </c>
      <c r="AO45" t="s">
        <v>1020</v>
      </c>
      <c r="AZ45" t="s">
        <v>1021</v>
      </c>
      <c r="BD45" t="s">
        <v>1022</v>
      </c>
      <c r="BI45" t="s">
        <v>1023</v>
      </c>
      <c r="BN45" s="10" t="s">
        <v>1024</v>
      </c>
      <c r="BS45" t="s">
        <v>813</v>
      </c>
      <c r="CB45" t="s">
        <v>3616</v>
      </c>
    </row>
    <row r="46" spans="10:80" x14ac:dyDescent="0.25">
      <c r="J46" t="s">
        <v>980</v>
      </c>
      <c r="M46" t="s">
        <v>1026</v>
      </c>
      <c r="N46" s="7" t="s">
        <v>1027</v>
      </c>
      <c r="O46" s="8" t="s">
        <v>1028</v>
      </c>
      <c r="R46" t="s">
        <v>1029</v>
      </c>
      <c r="S46" t="s">
        <v>1030</v>
      </c>
      <c r="AN46" t="s">
        <v>1031</v>
      </c>
      <c r="AO46" t="s">
        <v>1032</v>
      </c>
      <c r="AZ46" t="s">
        <v>1033</v>
      </c>
      <c r="BD46" t="s">
        <v>1034</v>
      </c>
      <c r="BI46" t="s">
        <v>1035</v>
      </c>
      <c r="BN46" s="10" t="s">
        <v>1036</v>
      </c>
      <c r="BS46" t="s">
        <v>813</v>
      </c>
      <c r="CB46" t="s">
        <v>3617</v>
      </c>
    </row>
    <row r="47" spans="10:80" x14ac:dyDescent="0.25">
      <c r="J47" t="s">
        <v>992</v>
      </c>
      <c r="M47" t="s">
        <v>1038</v>
      </c>
      <c r="N47" s="7" t="s">
        <v>1039</v>
      </c>
      <c r="O47" s="8" t="s">
        <v>1040</v>
      </c>
      <c r="R47" t="s">
        <v>1041</v>
      </c>
      <c r="S47" t="s">
        <v>1042</v>
      </c>
      <c r="AN47" t="s">
        <v>1043</v>
      </c>
      <c r="AO47" t="s">
        <v>1044</v>
      </c>
      <c r="AZ47" t="s">
        <v>1045</v>
      </c>
      <c r="BD47" t="s">
        <v>1046</v>
      </c>
      <c r="BI47" t="s">
        <v>1047</v>
      </c>
      <c r="BN47" s="10" t="s">
        <v>1048</v>
      </c>
      <c r="BS47" t="s">
        <v>813</v>
      </c>
      <c r="CB47" t="s">
        <v>3618</v>
      </c>
    </row>
    <row r="48" spans="10:80" x14ac:dyDescent="0.25">
      <c r="J48" t="s">
        <v>1004</v>
      </c>
      <c r="M48" t="s">
        <v>1050</v>
      </c>
      <c r="N48" s="7" t="s">
        <v>1051</v>
      </c>
      <c r="O48" s="8" t="s">
        <v>1052</v>
      </c>
      <c r="R48" t="s">
        <v>1053</v>
      </c>
      <c r="S48" t="s">
        <v>1054</v>
      </c>
      <c r="AN48" t="s">
        <v>1055</v>
      </c>
      <c r="AO48" t="s">
        <v>1056</v>
      </c>
      <c r="AZ48" t="s">
        <v>1057</v>
      </c>
      <c r="BD48" t="s">
        <v>1058</v>
      </c>
      <c r="BI48" t="s">
        <v>1059</v>
      </c>
      <c r="BN48" s="10" t="s">
        <v>1060</v>
      </c>
      <c r="BS48" t="s">
        <v>813</v>
      </c>
      <c r="CB48" t="s">
        <v>3619</v>
      </c>
    </row>
    <row r="49" spans="10:80" x14ac:dyDescent="0.25">
      <c r="J49" t="s">
        <v>1015</v>
      </c>
      <c r="M49" t="s">
        <v>1062</v>
      </c>
      <c r="N49" s="7" t="s">
        <v>1063</v>
      </c>
      <c r="O49" s="8" t="s">
        <v>1064</v>
      </c>
      <c r="R49" t="s">
        <v>1065</v>
      </c>
      <c r="S49" t="s">
        <v>1066</v>
      </c>
      <c r="AN49" t="s">
        <v>1067</v>
      </c>
      <c r="AO49" t="s">
        <v>1068</v>
      </c>
      <c r="AZ49" t="s">
        <v>1069</v>
      </c>
      <c r="BD49" t="s">
        <v>1070</v>
      </c>
      <c r="BI49" t="s">
        <v>1071</v>
      </c>
      <c r="BN49" s="10" t="s">
        <v>1072</v>
      </c>
      <c r="BS49" t="s">
        <v>813</v>
      </c>
      <c r="CB49" t="s">
        <v>3620</v>
      </c>
    </row>
    <row r="50" spans="10:80" x14ac:dyDescent="0.25">
      <c r="J50" t="s">
        <v>1025</v>
      </c>
      <c r="M50" t="s">
        <v>1074</v>
      </c>
      <c r="N50" s="7" t="s">
        <v>1075</v>
      </c>
      <c r="O50" s="8" t="s">
        <v>1076</v>
      </c>
      <c r="R50" t="s">
        <v>1077</v>
      </c>
      <c r="S50" t="s">
        <v>1078</v>
      </c>
      <c r="AN50" t="s">
        <v>1079</v>
      </c>
      <c r="AO50" t="s">
        <v>1080</v>
      </c>
      <c r="AZ50" t="s">
        <v>1081</v>
      </c>
      <c r="BD50" t="s">
        <v>1082</v>
      </c>
      <c r="BI50" t="s">
        <v>1083</v>
      </c>
      <c r="BN50" s="10" t="s">
        <v>1084</v>
      </c>
      <c r="BS50" t="s">
        <v>813</v>
      </c>
      <c r="CB50" t="s">
        <v>3621</v>
      </c>
    </row>
    <row r="51" spans="10:80" x14ac:dyDescent="0.25">
      <c r="J51" t="s">
        <v>1037</v>
      </c>
      <c r="M51" t="s">
        <v>1086</v>
      </c>
      <c r="N51" s="7" t="s">
        <v>1087</v>
      </c>
      <c r="O51" s="8" t="s">
        <v>1088</v>
      </c>
      <c r="R51" t="s">
        <v>1089</v>
      </c>
      <c r="S51" t="s">
        <v>1090</v>
      </c>
      <c r="AN51" t="s">
        <v>1091</v>
      </c>
      <c r="AO51" t="s">
        <v>1092</v>
      </c>
      <c r="AZ51" t="s">
        <v>1093</v>
      </c>
      <c r="BD51" t="s">
        <v>1094</v>
      </c>
      <c r="BI51" t="s">
        <v>1095</v>
      </c>
      <c r="BN51" s="10" t="s">
        <v>1096</v>
      </c>
      <c r="BS51" t="s">
        <v>813</v>
      </c>
      <c r="CB51" t="s">
        <v>3622</v>
      </c>
    </row>
    <row r="52" spans="10:80" x14ac:dyDescent="0.25">
      <c r="J52" t="s">
        <v>1049</v>
      </c>
      <c r="M52" t="s">
        <v>1098</v>
      </c>
      <c r="N52" s="7" t="s">
        <v>1099</v>
      </c>
      <c r="O52" s="8" t="s">
        <v>1100</v>
      </c>
      <c r="R52" t="s">
        <v>1101</v>
      </c>
      <c r="S52" t="s">
        <v>1102</v>
      </c>
      <c r="AN52" t="s">
        <v>1103</v>
      </c>
      <c r="AO52" t="s">
        <v>1104</v>
      </c>
      <c r="AZ52" t="s">
        <v>1105</v>
      </c>
      <c r="BD52" t="s">
        <v>1106</v>
      </c>
      <c r="BI52" t="s">
        <v>1107</v>
      </c>
      <c r="BN52" s="10" t="s">
        <v>1108</v>
      </c>
      <c r="BS52" t="s">
        <v>813</v>
      </c>
      <c r="CB52" t="s">
        <v>3623</v>
      </c>
    </row>
    <row r="53" spans="10:80" x14ac:dyDescent="0.25">
      <c r="J53" t="s">
        <v>1061</v>
      </c>
      <c r="M53" t="s">
        <v>1110</v>
      </c>
      <c r="N53" s="7" t="s">
        <v>1111</v>
      </c>
      <c r="O53" s="8" t="s">
        <v>1112</v>
      </c>
      <c r="R53" t="s">
        <v>1113</v>
      </c>
      <c r="S53" t="s">
        <v>1114</v>
      </c>
      <c r="AN53" t="s">
        <v>1115</v>
      </c>
      <c r="AO53" t="s">
        <v>1116</v>
      </c>
      <c r="AZ53" t="s">
        <v>1117</v>
      </c>
      <c r="BD53" t="s">
        <v>1118</v>
      </c>
      <c r="BI53" t="s">
        <v>1119</v>
      </c>
      <c r="BN53" s="10" t="s">
        <v>1120</v>
      </c>
      <c r="BS53" t="s">
        <v>813</v>
      </c>
      <c r="CB53" t="s">
        <v>3624</v>
      </c>
    </row>
    <row r="54" spans="10:80" x14ac:dyDescent="0.25">
      <c r="J54" t="s">
        <v>1073</v>
      </c>
      <c r="M54" t="s">
        <v>1122</v>
      </c>
      <c r="N54" s="7" t="s">
        <v>1123</v>
      </c>
      <c r="O54" s="8" t="s">
        <v>1124</v>
      </c>
      <c r="R54" t="s">
        <v>1125</v>
      </c>
      <c r="S54" t="s">
        <v>1126</v>
      </c>
      <c r="AN54" t="s">
        <v>1127</v>
      </c>
      <c r="AO54" t="s">
        <v>1128</v>
      </c>
      <c r="AZ54" t="s">
        <v>1129</v>
      </c>
      <c r="BD54" t="s">
        <v>1130</v>
      </c>
      <c r="BI54" t="s">
        <v>1131</v>
      </c>
      <c r="BN54" s="10" t="s">
        <v>1132</v>
      </c>
      <c r="BS54" t="s">
        <v>813</v>
      </c>
      <c r="CB54" t="s">
        <v>3625</v>
      </c>
    </row>
    <row r="55" spans="10:80" x14ac:dyDescent="0.25">
      <c r="J55" t="s">
        <v>1085</v>
      </c>
      <c r="M55" t="s">
        <v>1134</v>
      </c>
      <c r="N55" s="7" t="s">
        <v>1135</v>
      </c>
      <c r="O55" s="8" t="s">
        <v>1136</v>
      </c>
      <c r="R55" t="s">
        <v>1137</v>
      </c>
      <c r="S55" t="s">
        <v>1138</v>
      </c>
      <c r="AN55" t="s">
        <v>1139</v>
      </c>
      <c r="AO55" t="s">
        <v>1140</v>
      </c>
      <c r="AZ55" t="s">
        <v>1141</v>
      </c>
      <c r="BD55" t="s">
        <v>1142</v>
      </c>
      <c r="BI55" t="s">
        <v>1143</v>
      </c>
      <c r="BN55" s="10" t="s">
        <v>1144</v>
      </c>
      <c r="BS55" t="s">
        <v>813</v>
      </c>
      <c r="CB55" t="s">
        <v>3626</v>
      </c>
    </row>
    <row r="56" spans="10:80" x14ac:dyDescent="0.25">
      <c r="J56" t="s">
        <v>1097</v>
      </c>
      <c r="M56" t="s">
        <v>1146</v>
      </c>
      <c r="N56" s="7" t="s">
        <v>1147</v>
      </c>
      <c r="O56" s="8" t="s">
        <v>1148</v>
      </c>
      <c r="R56" t="s">
        <v>1149</v>
      </c>
      <c r="S56" t="s">
        <v>1150</v>
      </c>
      <c r="AN56" t="s">
        <v>1151</v>
      </c>
      <c r="AO56" t="s">
        <v>1152</v>
      </c>
      <c r="AZ56" t="s">
        <v>1153</v>
      </c>
      <c r="BD56" t="s">
        <v>1154</v>
      </c>
      <c r="BI56" t="s">
        <v>1155</v>
      </c>
      <c r="BN56" s="10" t="s">
        <v>1156</v>
      </c>
      <c r="BS56" t="s">
        <v>813</v>
      </c>
      <c r="CB56" t="s">
        <v>3627</v>
      </c>
    </row>
    <row r="57" spans="10:80" x14ac:dyDescent="0.25">
      <c r="J57" t="s">
        <v>1109</v>
      </c>
      <c r="M57" t="s">
        <v>1158</v>
      </c>
      <c r="N57" s="7" t="s">
        <v>1159</v>
      </c>
      <c r="O57" s="8" t="s">
        <v>1160</v>
      </c>
      <c r="R57" t="s">
        <v>1161</v>
      </c>
      <c r="S57" t="s">
        <v>1162</v>
      </c>
      <c r="AN57" t="s">
        <v>1163</v>
      </c>
      <c r="AO57" t="s">
        <v>1164</v>
      </c>
      <c r="AZ57" t="s">
        <v>1165</v>
      </c>
      <c r="BD57" t="s">
        <v>1166</v>
      </c>
      <c r="BI57" t="s">
        <v>1167</v>
      </c>
      <c r="BN57" s="10" t="s">
        <v>1168</v>
      </c>
      <c r="BS57" t="s">
        <v>813</v>
      </c>
      <c r="CB57" t="s">
        <v>3628</v>
      </c>
    </row>
    <row r="58" spans="10:80" x14ac:dyDescent="0.25">
      <c r="J58" t="s">
        <v>1121</v>
      </c>
      <c r="M58" t="s">
        <v>1170</v>
      </c>
      <c r="N58" s="7" t="s">
        <v>1171</v>
      </c>
      <c r="O58" s="8" t="s">
        <v>1172</v>
      </c>
      <c r="R58" t="s">
        <v>1173</v>
      </c>
      <c r="S58" t="s">
        <v>1174</v>
      </c>
      <c r="AN58" t="s">
        <v>1175</v>
      </c>
      <c r="AO58" t="s">
        <v>1176</v>
      </c>
      <c r="AZ58" t="s">
        <v>1177</v>
      </c>
      <c r="BD58" t="s">
        <v>1178</v>
      </c>
      <c r="BI58" t="s">
        <v>1179</v>
      </c>
      <c r="BN58" s="10" t="s">
        <v>1180</v>
      </c>
      <c r="BS58" t="s">
        <v>813</v>
      </c>
      <c r="CB58" t="s">
        <v>3629</v>
      </c>
    </row>
    <row r="59" spans="10:80" x14ac:dyDescent="0.25">
      <c r="J59" t="s">
        <v>1133</v>
      </c>
      <c r="M59" t="s">
        <v>1182</v>
      </c>
      <c r="N59" s="7" t="s">
        <v>1183</v>
      </c>
      <c r="O59" s="8" t="s">
        <v>1184</v>
      </c>
      <c r="R59" t="s">
        <v>1185</v>
      </c>
      <c r="S59" t="s">
        <v>1186</v>
      </c>
      <c r="AN59" t="s">
        <v>1187</v>
      </c>
      <c r="AO59" t="s">
        <v>1188</v>
      </c>
      <c r="AZ59" t="s">
        <v>1189</v>
      </c>
      <c r="BD59" t="s">
        <v>1190</v>
      </c>
      <c r="BI59" t="s">
        <v>1191</v>
      </c>
      <c r="BN59" s="10" t="s">
        <v>1192</v>
      </c>
      <c r="BS59" t="s">
        <v>813</v>
      </c>
      <c r="CB59" t="s">
        <v>3630</v>
      </c>
    </row>
    <row r="60" spans="10:80" x14ac:dyDescent="0.25">
      <c r="J60" t="s">
        <v>1145</v>
      </c>
      <c r="M60" t="s">
        <v>1194</v>
      </c>
      <c r="N60" s="7" t="s">
        <v>1195</v>
      </c>
      <c r="O60" s="8" t="s">
        <v>1196</v>
      </c>
      <c r="R60" t="s">
        <v>1197</v>
      </c>
      <c r="S60" t="s">
        <v>1198</v>
      </c>
      <c r="AN60" t="s">
        <v>1199</v>
      </c>
      <c r="AO60" t="s">
        <v>1200</v>
      </c>
      <c r="AZ60" t="s">
        <v>1201</v>
      </c>
      <c r="BD60" t="s">
        <v>1202</v>
      </c>
      <c r="BI60" t="s">
        <v>1203</v>
      </c>
      <c r="BN60" s="10" t="s">
        <v>1204</v>
      </c>
      <c r="BS60" t="s">
        <v>813</v>
      </c>
      <c r="CB60" t="s">
        <v>3631</v>
      </c>
    </row>
    <row r="61" spans="10:80" x14ac:dyDescent="0.25">
      <c r="J61" t="s">
        <v>1157</v>
      </c>
      <c r="M61" t="s">
        <v>1206</v>
      </c>
      <c r="N61" s="7" t="s">
        <v>1207</v>
      </c>
      <c r="O61" s="8" t="s">
        <v>1208</v>
      </c>
      <c r="R61" t="s">
        <v>1209</v>
      </c>
      <c r="S61" t="s">
        <v>1210</v>
      </c>
      <c r="AN61" t="s">
        <v>1211</v>
      </c>
      <c r="AO61" t="s">
        <v>1212</v>
      </c>
      <c r="AZ61" t="s">
        <v>1213</v>
      </c>
      <c r="BD61" t="s">
        <v>1214</v>
      </c>
      <c r="BI61" t="s">
        <v>1215</v>
      </c>
      <c r="BN61" s="10" t="s">
        <v>1216</v>
      </c>
      <c r="BS61" t="s">
        <v>813</v>
      </c>
      <c r="CB61" t="s">
        <v>3632</v>
      </c>
    </row>
    <row r="62" spans="10:80" x14ac:dyDescent="0.25">
      <c r="J62" t="s">
        <v>1169</v>
      </c>
      <c r="M62" t="s">
        <v>1218</v>
      </c>
      <c r="N62" s="7" t="s">
        <v>1219</v>
      </c>
      <c r="O62" s="8" t="s">
        <v>248</v>
      </c>
      <c r="R62" t="s">
        <v>1220</v>
      </c>
      <c r="S62" t="s">
        <v>1221</v>
      </c>
      <c r="AN62" t="s">
        <v>1222</v>
      </c>
      <c r="AO62" t="s">
        <v>1223</v>
      </c>
      <c r="AZ62" t="s">
        <v>1224</v>
      </c>
      <c r="BD62" t="s">
        <v>1225</v>
      </c>
      <c r="BI62" t="s">
        <v>1226</v>
      </c>
      <c r="BN62" s="10" t="s">
        <v>1227</v>
      </c>
      <c r="BS62" t="s">
        <v>813</v>
      </c>
      <c r="CB62" t="s">
        <v>3633</v>
      </c>
    </row>
    <row r="63" spans="10:80" x14ac:dyDescent="0.25">
      <c r="J63" t="s">
        <v>1181</v>
      </c>
      <c r="M63" t="s">
        <v>246</v>
      </c>
      <c r="N63" s="7" t="s">
        <v>247</v>
      </c>
      <c r="O63" s="8" t="s">
        <v>1229</v>
      </c>
      <c r="R63" t="s">
        <v>1230</v>
      </c>
      <c r="S63" t="s">
        <v>1231</v>
      </c>
      <c r="AN63" t="s">
        <v>1232</v>
      </c>
      <c r="AO63" t="s">
        <v>1233</v>
      </c>
      <c r="AZ63" t="s">
        <v>1234</v>
      </c>
      <c r="BD63" t="s">
        <v>1235</v>
      </c>
      <c r="BI63" t="s">
        <v>1236</v>
      </c>
      <c r="BN63" s="10" t="s">
        <v>1237</v>
      </c>
      <c r="BS63" t="s">
        <v>813</v>
      </c>
      <c r="CB63" t="s">
        <v>3634</v>
      </c>
    </row>
    <row r="64" spans="10:80" x14ac:dyDescent="0.25">
      <c r="J64" t="s">
        <v>1193</v>
      </c>
      <c r="M64" t="s">
        <v>1239</v>
      </c>
      <c r="N64" s="7" t="s">
        <v>1240</v>
      </c>
      <c r="O64" s="8" t="s">
        <v>1241</v>
      </c>
      <c r="R64" t="s">
        <v>1242</v>
      </c>
      <c r="S64" t="s">
        <v>1243</v>
      </c>
      <c r="AN64" t="s">
        <v>1244</v>
      </c>
      <c r="AO64" t="s">
        <v>1245</v>
      </c>
      <c r="AZ64" t="s">
        <v>1246</v>
      </c>
      <c r="BD64" t="s">
        <v>1247</v>
      </c>
      <c r="BI64" t="s">
        <v>1248</v>
      </c>
      <c r="BN64" s="10" t="s">
        <v>1249</v>
      </c>
      <c r="BS64" t="s">
        <v>813</v>
      </c>
      <c r="CB64" t="s">
        <v>3635</v>
      </c>
    </row>
    <row r="65" spans="10:80" x14ac:dyDescent="0.25">
      <c r="J65" t="s">
        <v>1205</v>
      </c>
      <c r="M65" t="s">
        <v>1251</v>
      </c>
      <c r="N65" s="7" t="s">
        <v>1252</v>
      </c>
      <c r="O65" s="8" t="s">
        <v>1253</v>
      </c>
      <c r="R65" t="s">
        <v>1254</v>
      </c>
      <c r="S65" t="s">
        <v>1255</v>
      </c>
      <c r="AN65" t="s">
        <v>1256</v>
      </c>
      <c r="AO65" t="s">
        <v>1257</v>
      </c>
      <c r="AZ65" t="s">
        <v>1258</v>
      </c>
      <c r="BD65" t="s">
        <v>1259</v>
      </c>
      <c r="BI65" t="s">
        <v>1260</v>
      </c>
      <c r="BN65" s="10" t="s">
        <v>1261</v>
      </c>
      <c r="BS65" t="s">
        <v>813</v>
      </c>
      <c r="CB65" t="s">
        <v>3636</v>
      </c>
    </row>
    <row r="66" spans="10:80" x14ac:dyDescent="0.25">
      <c r="J66" t="s">
        <v>1217</v>
      </c>
      <c r="M66" t="s">
        <v>1263</v>
      </c>
      <c r="N66" s="7" t="s">
        <v>1264</v>
      </c>
      <c r="O66" s="8" t="s">
        <v>1265</v>
      </c>
      <c r="R66" t="s">
        <v>1266</v>
      </c>
      <c r="S66" t="s">
        <v>1267</v>
      </c>
      <c r="AN66" t="s">
        <v>1268</v>
      </c>
      <c r="AO66" t="s">
        <v>1269</v>
      </c>
      <c r="AZ66" t="s">
        <v>1270</v>
      </c>
      <c r="BD66" t="s">
        <v>1271</v>
      </c>
      <c r="BI66" t="s">
        <v>1272</v>
      </c>
      <c r="BN66" s="10" t="s">
        <v>1273</v>
      </c>
      <c r="BS66" t="s">
        <v>813</v>
      </c>
      <c r="CB66" t="s">
        <v>3637</v>
      </c>
    </row>
    <row r="67" spans="10:80" x14ac:dyDescent="0.25">
      <c r="J67" t="s">
        <v>1228</v>
      </c>
      <c r="M67" t="s">
        <v>1275</v>
      </c>
      <c r="N67" s="7" t="s">
        <v>1276</v>
      </c>
      <c r="O67" s="8" t="s">
        <v>1277</v>
      </c>
      <c r="R67" t="s">
        <v>1278</v>
      </c>
      <c r="S67" t="s">
        <v>1279</v>
      </c>
      <c r="AN67" t="s">
        <v>1280</v>
      </c>
      <c r="AO67" t="s">
        <v>1281</v>
      </c>
      <c r="AZ67" t="s">
        <v>1282</v>
      </c>
      <c r="BD67" t="s">
        <v>1283</v>
      </c>
      <c r="BI67" t="s">
        <v>1284</v>
      </c>
      <c r="BN67" s="10" t="s">
        <v>1285</v>
      </c>
      <c r="BS67" t="s">
        <v>813</v>
      </c>
      <c r="CB67" t="s">
        <v>3638</v>
      </c>
    </row>
    <row r="68" spans="10:80" x14ac:dyDescent="0.25">
      <c r="J68" t="s">
        <v>1238</v>
      </c>
      <c r="M68" t="s">
        <v>1287</v>
      </c>
      <c r="N68" s="7" t="s">
        <v>1288</v>
      </c>
      <c r="O68" s="8" t="s">
        <v>1289</v>
      </c>
      <c r="R68" t="s">
        <v>1290</v>
      </c>
      <c r="AN68" t="s">
        <v>1291</v>
      </c>
      <c r="AO68" t="s">
        <v>1292</v>
      </c>
      <c r="AZ68" t="s">
        <v>1293</v>
      </c>
      <c r="BD68" t="s">
        <v>1294</v>
      </c>
      <c r="BI68" t="s">
        <v>1295</v>
      </c>
      <c r="BN68" s="10" t="s">
        <v>1296</v>
      </c>
      <c r="BS68" t="s">
        <v>813</v>
      </c>
      <c r="CB68" t="s">
        <v>3639</v>
      </c>
    </row>
    <row r="69" spans="10:80" x14ac:dyDescent="0.25">
      <c r="J69" t="s">
        <v>1250</v>
      </c>
      <c r="M69" t="s">
        <v>1298</v>
      </c>
      <c r="N69" s="7" t="s">
        <v>1299</v>
      </c>
      <c r="O69" s="8" t="s">
        <v>1300</v>
      </c>
      <c r="R69" t="s">
        <v>1301</v>
      </c>
      <c r="AN69" t="s">
        <v>1302</v>
      </c>
      <c r="AO69" t="s">
        <v>1303</v>
      </c>
      <c r="AZ69" t="s">
        <v>1304</v>
      </c>
      <c r="BD69" t="s">
        <v>1305</v>
      </c>
      <c r="BI69" t="s">
        <v>1306</v>
      </c>
      <c r="BN69" s="10" t="s">
        <v>1307</v>
      </c>
      <c r="BS69" t="s">
        <v>813</v>
      </c>
      <c r="CB69" t="s">
        <v>3640</v>
      </c>
    </row>
    <row r="70" spans="10:80" x14ac:dyDescent="0.25">
      <c r="J70" t="s">
        <v>1262</v>
      </c>
      <c r="M70" t="s">
        <v>1309</v>
      </c>
      <c r="N70" s="7" t="s">
        <v>1310</v>
      </c>
      <c r="O70" s="8" t="s">
        <v>1311</v>
      </c>
      <c r="R70" t="s">
        <v>1312</v>
      </c>
      <c r="AN70" t="s">
        <v>1313</v>
      </c>
      <c r="AO70" t="s">
        <v>1314</v>
      </c>
      <c r="AZ70" t="s">
        <v>1315</v>
      </c>
      <c r="BD70" t="s">
        <v>1316</v>
      </c>
      <c r="BI70" t="s">
        <v>1317</v>
      </c>
      <c r="BN70" s="10" t="s">
        <v>1318</v>
      </c>
      <c r="BS70" t="s">
        <v>813</v>
      </c>
      <c r="CB70" t="s">
        <v>3641</v>
      </c>
    </row>
    <row r="71" spans="10:80" x14ac:dyDescent="0.25">
      <c r="J71" t="s">
        <v>1274</v>
      </c>
      <c r="M71" t="s">
        <v>1320</v>
      </c>
      <c r="N71" s="7" t="s">
        <v>1321</v>
      </c>
      <c r="O71" s="8" t="s">
        <v>1322</v>
      </c>
      <c r="R71" t="s">
        <v>1323</v>
      </c>
      <c r="AN71" t="s">
        <v>1324</v>
      </c>
      <c r="AO71" t="s">
        <v>1325</v>
      </c>
      <c r="AZ71" t="s">
        <v>1326</v>
      </c>
      <c r="BD71" t="s">
        <v>1327</v>
      </c>
      <c r="BI71" t="s">
        <v>1328</v>
      </c>
      <c r="BN71" s="10" t="s">
        <v>1329</v>
      </c>
      <c r="BS71" t="s">
        <v>813</v>
      </c>
      <c r="CB71" t="s">
        <v>3642</v>
      </c>
    </row>
    <row r="72" spans="10:80" x14ac:dyDescent="0.25">
      <c r="J72" t="s">
        <v>1286</v>
      </c>
      <c r="M72" t="s">
        <v>1331</v>
      </c>
      <c r="N72" s="7" t="s">
        <v>1332</v>
      </c>
      <c r="O72" s="8" t="s">
        <v>1333</v>
      </c>
      <c r="R72" t="s">
        <v>1334</v>
      </c>
      <c r="AN72" t="s">
        <v>1335</v>
      </c>
      <c r="AO72" t="s">
        <v>1336</v>
      </c>
      <c r="AZ72" t="s">
        <v>1337</v>
      </c>
      <c r="BD72" t="s">
        <v>1338</v>
      </c>
      <c r="BI72" t="s">
        <v>1339</v>
      </c>
      <c r="BN72" s="10" t="s">
        <v>1340</v>
      </c>
      <c r="BS72" t="s">
        <v>813</v>
      </c>
      <c r="CB72" t="s">
        <v>3643</v>
      </c>
    </row>
    <row r="73" spans="10:80" x14ac:dyDescent="0.25">
      <c r="J73" t="s">
        <v>1297</v>
      </c>
      <c r="M73" t="s">
        <v>1341</v>
      </c>
      <c r="N73" s="7" t="s">
        <v>1342</v>
      </c>
      <c r="O73" s="8" t="s">
        <v>1343</v>
      </c>
      <c r="R73" t="s">
        <v>1344</v>
      </c>
      <c r="AN73" t="s">
        <v>1345</v>
      </c>
      <c r="AO73" t="s">
        <v>1346</v>
      </c>
      <c r="AZ73" t="s">
        <v>1347</v>
      </c>
      <c r="BD73" t="s">
        <v>1348</v>
      </c>
      <c r="BI73" t="s">
        <v>1349</v>
      </c>
      <c r="BN73" s="10" t="s">
        <v>1350</v>
      </c>
      <c r="BS73" t="s">
        <v>813</v>
      </c>
      <c r="CB73" t="s">
        <v>3644</v>
      </c>
    </row>
    <row r="74" spans="10:80" x14ac:dyDescent="0.25">
      <c r="J74" t="s">
        <v>1308</v>
      </c>
      <c r="M74" t="s">
        <v>1351</v>
      </c>
      <c r="N74" s="7" t="s">
        <v>1352</v>
      </c>
      <c r="O74" s="8" t="s">
        <v>1353</v>
      </c>
      <c r="R74" t="s">
        <v>1354</v>
      </c>
      <c r="AN74" t="s">
        <v>1355</v>
      </c>
      <c r="AO74" t="s">
        <v>1356</v>
      </c>
      <c r="AZ74" t="s">
        <v>1357</v>
      </c>
      <c r="BD74" t="s">
        <v>1358</v>
      </c>
      <c r="BI74" t="s">
        <v>1359</v>
      </c>
      <c r="BN74" s="10" t="s">
        <v>1360</v>
      </c>
      <c r="BS74" t="s">
        <v>813</v>
      </c>
      <c r="CB74" t="s">
        <v>3645</v>
      </c>
    </row>
    <row r="75" spans="10:80" x14ac:dyDescent="0.25">
      <c r="J75" t="s">
        <v>1319</v>
      </c>
      <c r="M75" t="s">
        <v>1361</v>
      </c>
      <c r="N75" s="7" t="s">
        <v>1362</v>
      </c>
      <c r="O75" s="8" t="s">
        <v>1363</v>
      </c>
      <c r="R75" t="s">
        <v>1364</v>
      </c>
      <c r="AN75" t="s">
        <v>1365</v>
      </c>
      <c r="AO75" t="s">
        <v>1366</v>
      </c>
      <c r="AZ75" t="s">
        <v>1367</v>
      </c>
      <c r="BD75" t="s">
        <v>1368</v>
      </c>
      <c r="BI75" t="s">
        <v>1369</v>
      </c>
      <c r="BN75" s="10" t="s">
        <v>1370</v>
      </c>
      <c r="BS75" t="s">
        <v>813</v>
      </c>
      <c r="CB75" t="s">
        <v>3646</v>
      </c>
    </row>
    <row r="76" spans="10:80" x14ac:dyDescent="0.25">
      <c r="J76" t="s">
        <v>1330</v>
      </c>
      <c r="M76" t="s">
        <v>1371</v>
      </c>
      <c r="N76" s="7" t="s">
        <v>1372</v>
      </c>
      <c r="O76" s="8" t="s">
        <v>288</v>
      </c>
      <c r="R76" t="s">
        <v>1373</v>
      </c>
      <c r="AN76" t="s">
        <v>1374</v>
      </c>
      <c r="AO76" t="s">
        <v>1375</v>
      </c>
      <c r="AZ76" t="s">
        <v>1376</v>
      </c>
      <c r="BD76" t="s">
        <v>1377</v>
      </c>
      <c r="BI76" t="s">
        <v>1378</v>
      </c>
      <c r="BN76" s="10" t="s">
        <v>1379</v>
      </c>
      <c r="BS76" t="s">
        <v>813</v>
      </c>
      <c r="CB76" t="s">
        <v>3647</v>
      </c>
    </row>
    <row r="77" spans="10:80" x14ac:dyDescent="0.25">
      <c r="M77" t="s">
        <v>286</v>
      </c>
      <c r="N77" s="7" t="s">
        <v>287</v>
      </c>
      <c r="O77" s="8" t="s">
        <v>1380</v>
      </c>
      <c r="R77" t="s">
        <v>1381</v>
      </c>
      <c r="AN77" t="s">
        <v>1382</v>
      </c>
      <c r="AO77" t="s">
        <v>1383</v>
      </c>
      <c r="AZ77" t="s">
        <v>1384</v>
      </c>
      <c r="BD77" t="s">
        <v>1385</v>
      </c>
      <c r="BI77" t="s">
        <v>1386</v>
      </c>
      <c r="BN77" s="10" t="s">
        <v>1387</v>
      </c>
      <c r="BS77" t="s">
        <v>813</v>
      </c>
      <c r="CB77" t="s">
        <v>3648</v>
      </c>
    </row>
    <row r="78" spans="10:80" x14ac:dyDescent="0.25">
      <c r="M78" t="s">
        <v>1388</v>
      </c>
      <c r="N78" s="7" t="s">
        <v>1389</v>
      </c>
      <c r="O78" s="8" t="s">
        <v>1390</v>
      </c>
      <c r="R78" t="s">
        <v>1391</v>
      </c>
      <c r="AN78" t="s">
        <v>1392</v>
      </c>
      <c r="AO78" t="s">
        <v>1393</v>
      </c>
      <c r="AZ78" t="s">
        <v>1394</v>
      </c>
      <c r="BD78" t="s">
        <v>1395</v>
      </c>
      <c r="BI78" t="s">
        <v>1396</v>
      </c>
      <c r="BN78" s="10" t="s">
        <v>1397</v>
      </c>
      <c r="BS78" t="s">
        <v>813</v>
      </c>
      <c r="CB78" t="s">
        <v>3649</v>
      </c>
    </row>
    <row r="79" spans="10:80" x14ac:dyDescent="0.25">
      <c r="M79" t="s">
        <v>1398</v>
      </c>
      <c r="N79" s="7" t="s">
        <v>1399</v>
      </c>
      <c r="O79" s="8" t="s">
        <v>1400</v>
      </c>
      <c r="R79" t="s">
        <v>1401</v>
      </c>
      <c r="AN79" t="s">
        <v>1402</v>
      </c>
      <c r="AO79" t="s">
        <v>1403</v>
      </c>
      <c r="AZ79" t="s">
        <v>1404</v>
      </c>
      <c r="BD79" t="s">
        <v>1405</v>
      </c>
      <c r="BI79" t="s">
        <v>1406</v>
      </c>
      <c r="BN79" s="10" t="s">
        <v>1407</v>
      </c>
      <c r="BS79" t="s">
        <v>813</v>
      </c>
      <c r="CB79" t="s">
        <v>3650</v>
      </c>
    </row>
    <row r="80" spans="10:80" x14ac:dyDescent="0.25">
      <c r="M80" t="s">
        <v>1408</v>
      </c>
      <c r="N80" s="7" t="s">
        <v>1409</v>
      </c>
      <c r="O80" s="8" t="s">
        <v>1410</v>
      </c>
      <c r="R80" t="s">
        <v>1411</v>
      </c>
      <c r="AN80" t="s">
        <v>1412</v>
      </c>
      <c r="AO80" t="s">
        <v>1413</v>
      </c>
      <c r="AZ80" t="s">
        <v>1414</v>
      </c>
      <c r="BD80" t="s">
        <v>1415</v>
      </c>
      <c r="BI80" t="s">
        <v>1416</v>
      </c>
      <c r="BN80" s="10" t="s">
        <v>1417</v>
      </c>
      <c r="BS80" t="s">
        <v>813</v>
      </c>
      <c r="CB80" t="s">
        <v>3651</v>
      </c>
    </row>
    <row r="81" spans="13:80" x14ac:dyDescent="0.25">
      <c r="M81" t="s">
        <v>1418</v>
      </c>
      <c r="N81" s="7" t="s">
        <v>1419</v>
      </c>
      <c r="O81" s="8" t="s">
        <v>1420</v>
      </c>
      <c r="R81" t="s">
        <v>1421</v>
      </c>
      <c r="AN81" t="s">
        <v>1422</v>
      </c>
      <c r="AO81" t="s">
        <v>1423</v>
      </c>
      <c r="AZ81" t="s">
        <v>1424</v>
      </c>
      <c r="BD81" t="s">
        <v>1425</v>
      </c>
      <c r="BI81" t="s">
        <v>1426</v>
      </c>
      <c r="BN81" s="10" t="s">
        <v>1427</v>
      </c>
      <c r="BS81" t="s">
        <v>813</v>
      </c>
      <c r="CB81" t="s">
        <v>3652</v>
      </c>
    </row>
    <row r="82" spans="13:80" x14ac:dyDescent="0.25">
      <c r="M82" t="s">
        <v>1428</v>
      </c>
      <c r="N82" s="7" t="s">
        <v>1429</v>
      </c>
      <c r="O82" s="8" t="s">
        <v>1430</v>
      </c>
      <c r="R82" t="s">
        <v>1431</v>
      </c>
      <c r="AN82" t="s">
        <v>1432</v>
      </c>
      <c r="AO82" t="s">
        <v>1433</v>
      </c>
      <c r="AZ82" t="s">
        <v>1434</v>
      </c>
      <c r="BD82" t="s">
        <v>1435</v>
      </c>
      <c r="BI82" t="s">
        <v>1436</v>
      </c>
      <c r="BN82" s="10" t="s">
        <v>1437</v>
      </c>
      <c r="BS82" t="s">
        <v>813</v>
      </c>
      <c r="CB82" t="s">
        <v>3653</v>
      </c>
    </row>
    <row r="83" spans="13:80" x14ac:dyDescent="0.25">
      <c r="M83" t="s">
        <v>1438</v>
      </c>
      <c r="N83" s="7" t="s">
        <v>1439</v>
      </c>
      <c r="O83" s="8" t="s">
        <v>1440</v>
      </c>
      <c r="R83" t="s">
        <v>1441</v>
      </c>
      <c r="AN83" t="s">
        <v>1442</v>
      </c>
      <c r="AO83" t="s">
        <v>1443</v>
      </c>
      <c r="AZ83" t="s">
        <v>1444</v>
      </c>
      <c r="BD83" t="s">
        <v>1445</v>
      </c>
      <c r="BI83" t="s">
        <v>1446</v>
      </c>
      <c r="BN83" s="10" t="s">
        <v>1447</v>
      </c>
      <c r="BS83" t="s">
        <v>813</v>
      </c>
      <c r="CB83" t="s">
        <v>3654</v>
      </c>
    </row>
    <row r="84" spans="13:80" x14ac:dyDescent="0.25">
      <c r="M84" t="s">
        <v>1448</v>
      </c>
      <c r="N84" s="7" t="s">
        <v>1449</v>
      </c>
      <c r="O84" s="8" t="s">
        <v>1450</v>
      </c>
      <c r="R84" t="s">
        <v>1451</v>
      </c>
      <c r="AN84" t="s">
        <v>1452</v>
      </c>
      <c r="AO84" t="s">
        <v>1453</v>
      </c>
      <c r="AZ84" t="s">
        <v>1454</v>
      </c>
      <c r="BD84" t="s">
        <v>1455</v>
      </c>
      <c r="BI84" t="s">
        <v>1456</v>
      </c>
      <c r="BN84" s="10" t="s">
        <v>1457</v>
      </c>
      <c r="BS84" t="s">
        <v>813</v>
      </c>
      <c r="CB84" t="s">
        <v>3655</v>
      </c>
    </row>
    <row r="85" spans="13:80" x14ac:dyDescent="0.25">
      <c r="M85" t="s">
        <v>1458</v>
      </c>
      <c r="N85" s="7" t="s">
        <v>1459</v>
      </c>
      <c r="O85" s="8" t="s">
        <v>1460</v>
      </c>
      <c r="R85" t="s">
        <v>1461</v>
      </c>
      <c r="AN85" t="s">
        <v>1462</v>
      </c>
      <c r="AO85" t="s">
        <v>1463</v>
      </c>
      <c r="AZ85" t="s">
        <v>1464</v>
      </c>
      <c r="BD85" t="s">
        <v>1465</v>
      </c>
      <c r="BI85" t="s">
        <v>1466</v>
      </c>
      <c r="BN85" s="10" t="s">
        <v>1467</v>
      </c>
      <c r="BS85" t="s">
        <v>813</v>
      </c>
      <c r="CB85" t="s">
        <v>3656</v>
      </c>
    </row>
    <row r="86" spans="13:80" x14ac:dyDescent="0.25">
      <c r="M86" t="s">
        <v>1468</v>
      </c>
      <c r="N86" s="7" t="s">
        <v>1469</v>
      </c>
      <c r="O86" s="8" t="s">
        <v>1470</v>
      </c>
      <c r="R86" t="s">
        <v>1471</v>
      </c>
      <c r="AN86" t="s">
        <v>1472</v>
      </c>
      <c r="AO86" t="s">
        <v>1473</v>
      </c>
      <c r="AZ86" t="s">
        <v>1474</v>
      </c>
      <c r="BD86" t="s">
        <v>1475</v>
      </c>
      <c r="BI86" t="s">
        <v>1476</v>
      </c>
      <c r="BN86" s="10" t="s">
        <v>1477</v>
      </c>
      <c r="BS86" t="s">
        <v>813</v>
      </c>
      <c r="CB86" t="s">
        <v>3657</v>
      </c>
    </row>
    <row r="87" spans="13:80" x14ac:dyDescent="0.25">
      <c r="M87" t="s">
        <v>1478</v>
      </c>
      <c r="N87" s="7" t="s">
        <v>1479</v>
      </c>
      <c r="O87" s="8" t="s">
        <v>1480</v>
      </c>
      <c r="R87" t="s">
        <v>1481</v>
      </c>
      <c r="AN87" t="s">
        <v>1482</v>
      </c>
      <c r="AO87" t="s">
        <v>1483</v>
      </c>
      <c r="AZ87" t="s">
        <v>1484</v>
      </c>
      <c r="BD87" t="s">
        <v>1485</v>
      </c>
      <c r="BI87" t="s">
        <v>1486</v>
      </c>
      <c r="BN87" s="10" t="s">
        <v>1487</v>
      </c>
      <c r="BS87" t="s">
        <v>813</v>
      </c>
      <c r="CB87" t="s">
        <v>3658</v>
      </c>
    </row>
    <row r="88" spans="13:80" x14ac:dyDescent="0.25">
      <c r="M88" t="s">
        <v>1488</v>
      </c>
      <c r="N88" s="7" t="s">
        <v>1489</v>
      </c>
      <c r="O88" s="8" t="s">
        <v>1490</v>
      </c>
      <c r="R88" t="s">
        <v>1491</v>
      </c>
      <c r="AN88" t="s">
        <v>1492</v>
      </c>
      <c r="AO88" t="s">
        <v>1493</v>
      </c>
      <c r="AZ88" t="s">
        <v>1494</v>
      </c>
      <c r="BD88" t="s">
        <v>1495</v>
      </c>
      <c r="BI88" t="s">
        <v>1496</v>
      </c>
      <c r="BN88" s="10" t="s">
        <v>1497</v>
      </c>
      <c r="BS88" t="s">
        <v>813</v>
      </c>
      <c r="CB88" t="s">
        <v>3659</v>
      </c>
    </row>
    <row r="89" spans="13:80" x14ac:dyDescent="0.25">
      <c r="M89" t="s">
        <v>1498</v>
      </c>
      <c r="N89" s="7" t="s">
        <v>1499</v>
      </c>
      <c r="O89" s="8" t="s">
        <v>1500</v>
      </c>
      <c r="R89" t="s">
        <v>1501</v>
      </c>
      <c r="AN89" t="s">
        <v>1502</v>
      </c>
      <c r="AO89" t="s">
        <v>1503</v>
      </c>
      <c r="AZ89" t="s">
        <v>1504</v>
      </c>
      <c r="BD89" t="s">
        <v>1505</v>
      </c>
      <c r="BI89" t="s">
        <v>1506</v>
      </c>
      <c r="BN89" s="10" t="s">
        <v>1507</v>
      </c>
      <c r="BS89" t="s">
        <v>813</v>
      </c>
      <c r="CB89" t="s">
        <v>3660</v>
      </c>
    </row>
    <row r="90" spans="13:80" x14ac:dyDescent="0.25">
      <c r="M90" t="s">
        <v>1508</v>
      </c>
      <c r="N90" s="7" t="s">
        <v>1509</v>
      </c>
      <c r="O90" s="8" t="s">
        <v>1510</v>
      </c>
      <c r="R90" t="s">
        <v>1511</v>
      </c>
      <c r="AN90" t="s">
        <v>1512</v>
      </c>
      <c r="AO90" t="s">
        <v>1513</v>
      </c>
      <c r="AZ90" t="s">
        <v>1514</v>
      </c>
      <c r="BD90" t="s">
        <v>1515</v>
      </c>
      <c r="BI90" t="s">
        <v>1516</v>
      </c>
      <c r="BN90" s="10" t="s">
        <v>1517</v>
      </c>
      <c r="BS90" t="s">
        <v>813</v>
      </c>
      <c r="CB90" t="s">
        <v>3661</v>
      </c>
    </row>
    <row r="91" spans="13:80" x14ac:dyDescent="0.25">
      <c r="M91" t="s">
        <v>1518</v>
      </c>
      <c r="N91" s="7" t="s">
        <v>1519</v>
      </c>
      <c r="O91" s="8" t="s">
        <v>1520</v>
      </c>
      <c r="R91" t="s">
        <v>1521</v>
      </c>
      <c r="AN91" t="s">
        <v>1522</v>
      </c>
      <c r="AO91" t="s">
        <v>1523</v>
      </c>
      <c r="AZ91" t="s">
        <v>1524</v>
      </c>
      <c r="BD91" t="s">
        <v>1525</v>
      </c>
      <c r="BI91" t="s">
        <v>1526</v>
      </c>
      <c r="BN91" s="10" t="s">
        <v>1527</v>
      </c>
      <c r="BS91" t="s">
        <v>813</v>
      </c>
      <c r="CB91" t="s">
        <v>3662</v>
      </c>
    </row>
    <row r="92" spans="13:80" x14ac:dyDescent="0.25">
      <c r="M92" t="s">
        <v>1528</v>
      </c>
      <c r="N92" s="7" t="s">
        <v>1529</v>
      </c>
      <c r="O92" s="8" t="s">
        <v>1530</v>
      </c>
      <c r="R92" t="s">
        <v>1531</v>
      </c>
      <c r="AN92" t="s">
        <v>1532</v>
      </c>
      <c r="AO92" t="s">
        <v>1533</v>
      </c>
      <c r="AZ92" t="s">
        <v>1534</v>
      </c>
      <c r="BD92" t="s">
        <v>1535</v>
      </c>
      <c r="BI92" t="s">
        <v>1536</v>
      </c>
      <c r="BN92" s="10" t="s">
        <v>1537</v>
      </c>
      <c r="BS92" t="s">
        <v>813</v>
      </c>
      <c r="CB92" t="s">
        <v>3663</v>
      </c>
    </row>
    <row r="93" spans="13:80" x14ac:dyDescent="0.25">
      <c r="M93" t="s">
        <v>1538</v>
      </c>
      <c r="N93" s="7" t="s">
        <v>1539</v>
      </c>
      <c r="O93" s="8" t="s">
        <v>1540</v>
      </c>
      <c r="R93" t="s">
        <v>1541</v>
      </c>
      <c r="AN93" t="s">
        <v>1542</v>
      </c>
      <c r="AO93" t="s">
        <v>1543</v>
      </c>
      <c r="AZ93" t="s">
        <v>1544</v>
      </c>
      <c r="BD93" t="s">
        <v>1545</v>
      </c>
      <c r="BI93" t="s">
        <v>1546</v>
      </c>
      <c r="BN93" s="10" t="s">
        <v>1547</v>
      </c>
      <c r="BS93" t="s">
        <v>813</v>
      </c>
      <c r="CB93" t="s">
        <v>3664</v>
      </c>
    </row>
    <row r="94" spans="13:80" x14ac:dyDescent="0.25">
      <c r="M94" t="s">
        <v>1548</v>
      </c>
      <c r="N94" s="7" t="s">
        <v>1549</v>
      </c>
      <c r="O94" s="8" t="s">
        <v>1550</v>
      </c>
      <c r="R94" t="s">
        <v>1551</v>
      </c>
      <c r="AN94" t="s">
        <v>1552</v>
      </c>
      <c r="AO94" t="s">
        <v>1553</v>
      </c>
      <c r="AZ94" t="s">
        <v>1554</v>
      </c>
      <c r="BD94" t="s">
        <v>1555</v>
      </c>
      <c r="BI94" t="s">
        <v>1556</v>
      </c>
      <c r="BN94" s="10" t="s">
        <v>1557</v>
      </c>
      <c r="BS94" t="s">
        <v>813</v>
      </c>
      <c r="CB94" t="s">
        <v>3665</v>
      </c>
    </row>
    <row r="95" spans="13:80" x14ac:dyDescent="0.25">
      <c r="M95" t="s">
        <v>1558</v>
      </c>
      <c r="N95" s="7" t="s">
        <v>1559</v>
      </c>
      <c r="O95" s="8" t="s">
        <v>1560</v>
      </c>
      <c r="R95" t="s">
        <v>1561</v>
      </c>
      <c r="AN95" t="s">
        <v>1562</v>
      </c>
      <c r="AO95" t="s">
        <v>1563</v>
      </c>
      <c r="AZ95" t="s">
        <v>1564</v>
      </c>
      <c r="BD95" t="s">
        <v>1565</v>
      </c>
      <c r="BI95" t="s">
        <v>1566</v>
      </c>
      <c r="BN95" s="10" t="s">
        <v>1567</v>
      </c>
      <c r="BS95" t="s">
        <v>813</v>
      </c>
      <c r="CB95" t="s">
        <v>3666</v>
      </c>
    </row>
    <row r="96" spans="13:80" x14ac:dyDescent="0.25">
      <c r="M96" t="s">
        <v>1568</v>
      </c>
      <c r="N96" s="7" t="s">
        <v>1569</v>
      </c>
      <c r="O96" s="8" t="s">
        <v>1570</v>
      </c>
      <c r="R96" t="s">
        <v>1571</v>
      </c>
      <c r="AN96" t="s">
        <v>1562</v>
      </c>
      <c r="AO96" t="s">
        <v>1572</v>
      </c>
      <c r="AZ96" t="s">
        <v>1573</v>
      </c>
      <c r="BD96" t="s">
        <v>1574</v>
      </c>
      <c r="BI96" t="s">
        <v>1575</v>
      </c>
      <c r="BN96" s="10" t="s">
        <v>1576</v>
      </c>
      <c r="BS96" t="s">
        <v>813</v>
      </c>
      <c r="CB96" t="s">
        <v>3667</v>
      </c>
    </row>
    <row r="97" spans="13:80" x14ac:dyDescent="0.25">
      <c r="M97" t="s">
        <v>1577</v>
      </c>
      <c r="N97" s="7" t="s">
        <v>1578</v>
      </c>
      <c r="O97" s="8" t="s">
        <v>1579</v>
      </c>
      <c r="R97" t="s">
        <v>1580</v>
      </c>
      <c r="AN97" t="s">
        <v>1581</v>
      </c>
      <c r="AO97" t="s">
        <v>1582</v>
      </c>
      <c r="AZ97" t="s">
        <v>1583</v>
      </c>
      <c r="BD97" t="s">
        <v>1584</v>
      </c>
      <c r="BI97" t="s">
        <v>1585</v>
      </c>
      <c r="BN97" s="10" t="s">
        <v>1586</v>
      </c>
      <c r="BS97" t="s">
        <v>813</v>
      </c>
      <c r="CB97" t="s">
        <v>3668</v>
      </c>
    </row>
    <row r="98" spans="13:80" x14ac:dyDescent="0.25">
      <c r="M98" t="s">
        <v>1587</v>
      </c>
      <c r="N98" s="7" t="s">
        <v>1588</v>
      </c>
      <c r="O98" s="8" t="s">
        <v>1589</v>
      </c>
      <c r="R98" t="s">
        <v>1590</v>
      </c>
      <c r="AN98" t="s">
        <v>1591</v>
      </c>
      <c r="AO98" t="s">
        <v>1592</v>
      </c>
      <c r="AZ98" t="s">
        <v>1593</v>
      </c>
      <c r="BD98" t="s">
        <v>1594</v>
      </c>
      <c r="BI98" t="s">
        <v>1595</v>
      </c>
      <c r="BN98" s="10" t="s">
        <v>1596</v>
      </c>
      <c r="BS98" t="s">
        <v>813</v>
      </c>
      <c r="CB98" t="s">
        <v>3669</v>
      </c>
    </row>
    <row r="99" spans="13:80" x14ac:dyDescent="0.25">
      <c r="M99" t="s">
        <v>1597</v>
      </c>
      <c r="N99" s="7" t="s">
        <v>1598</v>
      </c>
      <c r="O99" s="8" t="s">
        <v>1599</v>
      </c>
      <c r="R99" t="s">
        <v>1600</v>
      </c>
      <c r="AN99" t="s">
        <v>1601</v>
      </c>
      <c r="AO99" t="s">
        <v>1602</v>
      </c>
      <c r="AZ99" t="s">
        <v>1603</v>
      </c>
      <c r="BD99" t="s">
        <v>1604</v>
      </c>
      <c r="BI99" t="s">
        <v>1605</v>
      </c>
      <c r="BN99" s="10" t="s">
        <v>1606</v>
      </c>
      <c r="BS99" t="s">
        <v>813</v>
      </c>
      <c r="CB99" t="s">
        <v>3670</v>
      </c>
    </row>
    <row r="100" spans="13:80" x14ac:dyDescent="0.25">
      <c r="M100" t="s">
        <v>1607</v>
      </c>
      <c r="N100" s="7" t="s">
        <v>1608</v>
      </c>
      <c r="O100" s="8" t="s">
        <v>1609</v>
      </c>
      <c r="R100" t="s">
        <v>1610</v>
      </c>
      <c r="AN100" t="s">
        <v>1611</v>
      </c>
      <c r="AO100" t="s">
        <v>1612</v>
      </c>
      <c r="AZ100" t="s">
        <v>1613</v>
      </c>
      <c r="BD100" t="s">
        <v>1614</v>
      </c>
      <c r="BI100" t="s">
        <v>1615</v>
      </c>
      <c r="BN100" s="10" t="s">
        <v>1616</v>
      </c>
      <c r="BS100" t="s">
        <v>813</v>
      </c>
      <c r="CB100" t="s">
        <v>3671</v>
      </c>
    </row>
    <row r="101" spans="13:80" x14ac:dyDescent="0.25">
      <c r="M101" t="s">
        <v>1617</v>
      </c>
      <c r="N101" s="7" t="s">
        <v>1618</v>
      </c>
      <c r="O101" s="8" t="s">
        <v>1619</v>
      </c>
      <c r="R101" t="s">
        <v>1620</v>
      </c>
      <c r="AN101" t="s">
        <v>1621</v>
      </c>
      <c r="AO101" t="s">
        <v>1622</v>
      </c>
      <c r="AZ101" t="s">
        <v>1623</v>
      </c>
      <c r="BD101" t="s">
        <v>1624</v>
      </c>
      <c r="BI101" t="s">
        <v>1625</v>
      </c>
      <c r="BN101" s="10" t="s">
        <v>1626</v>
      </c>
      <c r="BS101" t="s">
        <v>813</v>
      </c>
      <c r="CB101" t="s">
        <v>3672</v>
      </c>
    </row>
    <row r="102" spans="13:80" x14ac:dyDescent="0.25">
      <c r="M102" t="s">
        <v>1627</v>
      </c>
      <c r="N102" s="7" t="s">
        <v>1628</v>
      </c>
      <c r="O102" s="8" t="s">
        <v>1629</v>
      </c>
      <c r="R102" t="s">
        <v>1630</v>
      </c>
      <c r="AN102" t="s">
        <v>1631</v>
      </c>
      <c r="AO102" t="s">
        <v>1632</v>
      </c>
      <c r="AZ102" t="s">
        <v>1633</v>
      </c>
      <c r="BD102" t="s">
        <v>1634</v>
      </c>
      <c r="BI102" t="s">
        <v>1635</v>
      </c>
      <c r="BN102" s="10" t="s">
        <v>1636</v>
      </c>
      <c r="BS102" t="s">
        <v>813</v>
      </c>
      <c r="CB102" t="s">
        <v>3673</v>
      </c>
    </row>
    <row r="103" spans="13:80" x14ac:dyDescent="0.25">
      <c r="M103" t="s">
        <v>1637</v>
      </c>
      <c r="N103" s="7" t="s">
        <v>1638</v>
      </c>
      <c r="O103" s="8" t="s">
        <v>1639</v>
      </c>
      <c r="R103" t="s">
        <v>1640</v>
      </c>
      <c r="AN103" t="s">
        <v>1641</v>
      </c>
      <c r="AO103" t="s">
        <v>1642</v>
      </c>
      <c r="AZ103" t="s">
        <v>1643</v>
      </c>
      <c r="BD103" t="s">
        <v>1644</v>
      </c>
      <c r="BI103" t="s">
        <v>1645</v>
      </c>
      <c r="BN103" s="10" t="s">
        <v>1646</v>
      </c>
      <c r="BS103" t="s">
        <v>813</v>
      </c>
      <c r="CB103" t="s">
        <v>3674</v>
      </c>
    </row>
    <row r="104" spans="13:80" x14ac:dyDescent="0.25">
      <c r="M104" t="s">
        <v>1647</v>
      </c>
      <c r="N104" s="7" t="s">
        <v>1648</v>
      </c>
      <c r="O104" s="8" t="s">
        <v>1649</v>
      </c>
      <c r="R104" t="s">
        <v>1650</v>
      </c>
      <c r="AN104" t="s">
        <v>1651</v>
      </c>
      <c r="AO104" t="s">
        <v>1652</v>
      </c>
      <c r="AZ104" t="s">
        <v>1653</v>
      </c>
      <c r="BD104" t="s">
        <v>1654</v>
      </c>
      <c r="BI104" t="s">
        <v>1655</v>
      </c>
      <c r="BN104" s="10" t="s">
        <v>1656</v>
      </c>
      <c r="BS104" t="s">
        <v>813</v>
      </c>
      <c r="CB104" t="s">
        <v>3675</v>
      </c>
    </row>
    <row r="105" spans="13:80" x14ac:dyDescent="0.25">
      <c r="M105" t="s">
        <v>1657</v>
      </c>
      <c r="N105" s="7" t="s">
        <v>1658</v>
      </c>
      <c r="O105" s="8" t="s">
        <v>1659</v>
      </c>
      <c r="R105" t="s">
        <v>1660</v>
      </c>
      <c r="AN105" t="s">
        <v>1661</v>
      </c>
      <c r="AO105" t="s">
        <v>1662</v>
      </c>
      <c r="AZ105" t="s">
        <v>1663</v>
      </c>
      <c r="BD105" t="s">
        <v>1664</v>
      </c>
      <c r="BI105" t="s">
        <v>1665</v>
      </c>
      <c r="BN105" s="10" t="s">
        <v>1666</v>
      </c>
      <c r="BS105" t="s">
        <v>813</v>
      </c>
      <c r="CB105" t="s">
        <v>3676</v>
      </c>
    </row>
    <row r="106" spans="13:80" x14ac:dyDescent="0.25">
      <c r="M106" t="s">
        <v>1667</v>
      </c>
      <c r="N106" s="7" t="s">
        <v>1668</v>
      </c>
      <c r="O106" s="8" t="s">
        <v>1669</v>
      </c>
      <c r="R106" t="s">
        <v>1670</v>
      </c>
      <c r="AN106" t="s">
        <v>1671</v>
      </c>
      <c r="AO106" t="s">
        <v>1672</v>
      </c>
      <c r="AZ106" t="s">
        <v>1673</v>
      </c>
      <c r="BD106" t="s">
        <v>1674</v>
      </c>
      <c r="BI106" t="s">
        <v>1675</v>
      </c>
      <c r="BN106" s="10" t="s">
        <v>1676</v>
      </c>
      <c r="BS106" t="s">
        <v>813</v>
      </c>
      <c r="CB106" t="s">
        <v>3677</v>
      </c>
    </row>
    <row r="107" spans="13:80" x14ac:dyDescent="0.25">
      <c r="M107" t="s">
        <v>1677</v>
      </c>
      <c r="N107" s="7" t="s">
        <v>1678</v>
      </c>
      <c r="O107" s="8" t="s">
        <v>1679</v>
      </c>
      <c r="R107" t="s">
        <v>1680</v>
      </c>
      <c r="AN107" t="s">
        <v>1681</v>
      </c>
      <c r="AO107" t="s">
        <v>1682</v>
      </c>
      <c r="AZ107" t="s">
        <v>1683</v>
      </c>
      <c r="BD107" t="s">
        <v>1684</v>
      </c>
      <c r="BI107" t="s">
        <v>1685</v>
      </c>
      <c r="BN107" s="10" t="s">
        <v>1686</v>
      </c>
      <c r="BS107" t="s">
        <v>813</v>
      </c>
      <c r="CB107" t="s">
        <v>3678</v>
      </c>
    </row>
    <row r="108" spans="13:80" x14ac:dyDescent="0.25">
      <c r="M108" t="s">
        <v>1687</v>
      </c>
      <c r="N108" s="7" t="s">
        <v>1688</v>
      </c>
      <c r="O108" s="8" t="s">
        <v>1689</v>
      </c>
      <c r="R108" t="s">
        <v>1690</v>
      </c>
      <c r="AN108" t="s">
        <v>1691</v>
      </c>
      <c r="AO108" t="s">
        <v>1692</v>
      </c>
      <c r="AZ108" t="s">
        <v>1693</v>
      </c>
      <c r="BD108" t="s">
        <v>1694</v>
      </c>
      <c r="BI108" t="s">
        <v>1695</v>
      </c>
      <c r="BN108" s="10" t="s">
        <v>1696</v>
      </c>
      <c r="BS108" t="s">
        <v>813</v>
      </c>
      <c r="CB108" t="s">
        <v>3679</v>
      </c>
    </row>
    <row r="109" spans="13:80" x14ac:dyDescent="0.25">
      <c r="M109" t="s">
        <v>1697</v>
      </c>
      <c r="N109" s="7" t="s">
        <v>1698</v>
      </c>
      <c r="O109" s="8" t="s">
        <v>1699</v>
      </c>
      <c r="R109" t="s">
        <v>1700</v>
      </c>
      <c r="AN109" t="s">
        <v>1701</v>
      </c>
      <c r="AO109" t="s">
        <v>1702</v>
      </c>
      <c r="AZ109" t="s">
        <v>1703</v>
      </c>
      <c r="BD109" t="s">
        <v>1704</v>
      </c>
      <c r="BI109" t="s">
        <v>1705</v>
      </c>
      <c r="BN109" s="10" t="s">
        <v>1706</v>
      </c>
      <c r="BS109" t="s">
        <v>813</v>
      </c>
      <c r="CB109" t="s">
        <v>3680</v>
      </c>
    </row>
    <row r="110" spans="13:80" x14ac:dyDescent="0.25">
      <c r="M110" t="s">
        <v>1707</v>
      </c>
      <c r="N110" s="7" t="s">
        <v>1708</v>
      </c>
      <c r="O110" s="8" t="s">
        <v>1709</v>
      </c>
      <c r="R110" t="s">
        <v>1710</v>
      </c>
      <c r="AN110" t="s">
        <v>1711</v>
      </c>
      <c r="AO110" t="s">
        <v>1712</v>
      </c>
      <c r="AZ110" t="s">
        <v>1713</v>
      </c>
      <c r="BD110" t="s">
        <v>1714</v>
      </c>
      <c r="BI110" t="s">
        <v>1715</v>
      </c>
      <c r="BN110" s="10" t="s">
        <v>1716</v>
      </c>
      <c r="BS110" t="s">
        <v>813</v>
      </c>
      <c r="CB110" t="s">
        <v>3681</v>
      </c>
    </row>
    <row r="111" spans="13:80" x14ac:dyDescent="0.25">
      <c r="M111" t="s">
        <v>1717</v>
      </c>
      <c r="N111" s="7" t="s">
        <v>1718</v>
      </c>
      <c r="O111" s="8" t="s">
        <v>1719</v>
      </c>
      <c r="R111" t="s">
        <v>1720</v>
      </c>
      <c r="AN111" t="s">
        <v>1721</v>
      </c>
      <c r="AO111" t="s">
        <v>1722</v>
      </c>
      <c r="AZ111" t="s">
        <v>1723</v>
      </c>
      <c r="BD111" t="s">
        <v>1724</v>
      </c>
      <c r="BI111" t="s">
        <v>1725</v>
      </c>
      <c r="BN111" s="10" t="s">
        <v>1726</v>
      </c>
      <c r="BS111" t="s">
        <v>813</v>
      </c>
      <c r="CB111" t="s">
        <v>3682</v>
      </c>
    </row>
    <row r="112" spans="13:80" x14ac:dyDescent="0.25">
      <c r="M112" t="s">
        <v>1727</v>
      </c>
      <c r="N112" s="7" t="s">
        <v>1728</v>
      </c>
      <c r="O112" s="8" t="s">
        <v>1729</v>
      </c>
      <c r="R112" t="s">
        <v>1730</v>
      </c>
      <c r="AN112" t="s">
        <v>1731</v>
      </c>
      <c r="AO112" t="s">
        <v>1732</v>
      </c>
      <c r="AZ112" t="s">
        <v>1733</v>
      </c>
      <c r="BD112" t="s">
        <v>1734</v>
      </c>
      <c r="BI112" t="s">
        <v>1735</v>
      </c>
      <c r="BN112" s="10" t="s">
        <v>1736</v>
      </c>
      <c r="BS112" t="s">
        <v>813</v>
      </c>
      <c r="CB112" t="s">
        <v>3683</v>
      </c>
    </row>
    <row r="113" spans="13:80" x14ac:dyDescent="0.25">
      <c r="M113" t="s">
        <v>1737</v>
      </c>
      <c r="N113" s="7" t="s">
        <v>1738</v>
      </c>
      <c r="O113" s="8" t="s">
        <v>1739</v>
      </c>
      <c r="R113" t="s">
        <v>1740</v>
      </c>
      <c r="AN113" t="s">
        <v>1741</v>
      </c>
      <c r="AO113" t="s">
        <v>1742</v>
      </c>
      <c r="AZ113" t="s">
        <v>1743</v>
      </c>
      <c r="BD113" t="s">
        <v>1744</v>
      </c>
      <c r="BI113" t="s">
        <v>1745</v>
      </c>
      <c r="BN113" s="10" t="s">
        <v>1746</v>
      </c>
      <c r="BS113" t="s">
        <v>813</v>
      </c>
      <c r="CB113" t="s">
        <v>3684</v>
      </c>
    </row>
    <row r="114" spans="13:80" x14ac:dyDescent="0.25">
      <c r="M114" t="s">
        <v>1747</v>
      </c>
      <c r="N114" s="7" t="s">
        <v>1748</v>
      </c>
      <c r="O114" s="8" t="s">
        <v>1749</v>
      </c>
      <c r="R114" t="s">
        <v>1750</v>
      </c>
      <c r="AN114" t="s">
        <v>1751</v>
      </c>
      <c r="AO114" t="s">
        <v>1752</v>
      </c>
      <c r="AZ114" t="s">
        <v>1753</v>
      </c>
      <c r="BD114" t="s">
        <v>1754</v>
      </c>
      <c r="BI114" t="s">
        <v>1755</v>
      </c>
      <c r="BN114" s="10" t="s">
        <v>1756</v>
      </c>
      <c r="BS114" t="s">
        <v>813</v>
      </c>
      <c r="CB114" t="s">
        <v>3685</v>
      </c>
    </row>
    <row r="115" spans="13:80" x14ac:dyDescent="0.25">
      <c r="M115" t="s">
        <v>1757</v>
      </c>
      <c r="N115" s="7" t="s">
        <v>1758</v>
      </c>
      <c r="O115" s="8" t="s">
        <v>1759</v>
      </c>
      <c r="R115" t="s">
        <v>1760</v>
      </c>
      <c r="AN115" t="s">
        <v>1761</v>
      </c>
      <c r="AO115" t="s">
        <v>1762</v>
      </c>
      <c r="AZ115" t="s">
        <v>1763</v>
      </c>
      <c r="BD115" t="s">
        <v>1764</v>
      </c>
      <c r="BI115" t="s">
        <v>1765</v>
      </c>
      <c r="BN115" s="10" t="s">
        <v>1766</v>
      </c>
      <c r="BS115" t="s">
        <v>813</v>
      </c>
      <c r="CB115" t="s">
        <v>3686</v>
      </c>
    </row>
    <row r="116" spans="13:80" x14ac:dyDescent="0.25">
      <c r="M116" t="s">
        <v>1767</v>
      </c>
      <c r="N116" s="7" t="s">
        <v>1768</v>
      </c>
      <c r="O116" s="8" t="s">
        <v>1769</v>
      </c>
      <c r="R116" t="s">
        <v>1770</v>
      </c>
      <c r="AN116" t="s">
        <v>1771</v>
      </c>
      <c r="AO116" t="s">
        <v>1772</v>
      </c>
      <c r="AZ116" t="s">
        <v>1773</v>
      </c>
      <c r="BD116" t="s">
        <v>1774</v>
      </c>
      <c r="BI116" t="s">
        <v>1775</v>
      </c>
      <c r="BN116" s="10" t="s">
        <v>1776</v>
      </c>
      <c r="BS116" t="s">
        <v>813</v>
      </c>
      <c r="CB116" t="s">
        <v>3687</v>
      </c>
    </row>
    <row r="117" spans="13:80" x14ac:dyDescent="0.25">
      <c r="M117" t="s">
        <v>1777</v>
      </c>
      <c r="N117" s="7" t="s">
        <v>1778</v>
      </c>
      <c r="O117" s="8" t="s">
        <v>1779</v>
      </c>
      <c r="R117" t="s">
        <v>1780</v>
      </c>
      <c r="AN117" t="s">
        <v>1781</v>
      </c>
      <c r="AO117" t="s">
        <v>1782</v>
      </c>
      <c r="AZ117" t="s">
        <v>1783</v>
      </c>
      <c r="BD117" t="s">
        <v>1784</v>
      </c>
      <c r="BI117" t="s">
        <v>1785</v>
      </c>
      <c r="BN117" s="10" t="s">
        <v>1786</v>
      </c>
      <c r="BS117" t="s">
        <v>813</v>
      </c>
      <c r="CB117" t="s">
        <v>3688</v>
      </c>
    </row>
    <row r="118" spans="13:80" x14ac:dyDescent="0.25">
      <c r="M118" t="s">
        <v>1787</v>
      </c>
      <c r="N118" s="7" t="s">
        <v>1788</v>
      </c>
      <c r="O118" s="8" t="s">
        <v>1789</v>
      </c>
      <c r="R118" t="s">
        <v>1790</v>
      </c>
      <c r="AN118" t="s">
        <v>1791</v>
      </c>
      <c r="AO118" t="s">
        <v>1792</v>
      </c>
      <c r="AZ118" t="s">
        <v>1793</v>
      </c>
      <c r="BD118" t="s">
        <v>1794</v>
      </c>
      <c r="BI118" t="s">
        <v>1795</v>
      </c>
      <c r="BN118" s="10" t="s">
        <v>1796</v>
      </c>
      <c r="BS118" t="s">
        <v>813</v>
      </c>
      <c r="CB118" t="s">
        <v>3689</v>
      </c>
    </row>
    <row r="119" spans="13:80" x14ac:dyDescent="0.25">
      <c r="M119" t="s">
        <v>1797</v>
      </c>
      <c r="N119" s="7" t="s">
        <v>1798</v>
      </c>
      <c r="O119" s="8" t="s">
        <v>1799</v>
      </c>
      <c r="R119" t="s">
        <v>1800</v>
      </c>
      <c r="AN119" t="s">
        <v>1801</v>
      </c>
      <c r="AO119" t="s">
        <v>1802</v>
      </c>
      <c r="AZ119" t="s">
        <v>1803</v>
      </c>
      <c r="BD119" t="s">
        <v>1804</v>
      </c>
      <c r="BI119" t="s">
        <v>1805</v>
      </c>
      <c r="BN119" s="10" t="s">
        <v>1806</v>
      </c>
      <c r="BS119" t="s">
        <v>813</v>
      </c>
      <c r="CB119" t="s">
        <v>3690</v>
      </c>
    </row>
    <row r="120" spans="13:80" x14ac:dyDescent="0.25">
      <c r="M120" t="s">
        <v>1807</v>
      </c>
      <c r="N120" s="7" t="s">
        <v>1808</v>
      </c>
      <c r="O120" s="8" t="s">
        <v>1809</v>
      </c>
      <c r="R120" t="s">
        <v>1810</v>
      </c>
      <c r="AN120" t="s">
        <v>1811</v>
      </c>
      <c r="AO120" t="s">
        <v>1812</v>
      </c>
      <c r="AZ120" t="s">
        <v>1813</v>
      </c>
      <c r="BD120" t="s">
        <v>1814</v>
      </c>
      <c r="BI120" t="s">
        <v>1815</v>
      </c>
      <c r="BN120" s="10" t="s">
        <v>1816</v>
      </c>
      <c r="BS120" t="s">
        <v>813</v>
      </c>
      <c r="CB120" t="s">
        <v>3691</v>
      </c>
    </row>
    <row r="121" spans="13:80" x14ac:dyDescent="0.25">
      <c r="M121" t="s">
        <v>1817</v>
      </c>
      <c r="N121" s="7" t="s">
        <v>1818</v>
      </c>
      <c r="O121" s="8" t="s">
        <v>1819</v>
      </c>
      <c r="R121" t="s">
        <v>1820</v>
      </c>
      <c r="AN121" t="s">
        <v>1821</v>
      </c>
      <c r="AO121" t="s">
        <v>1822</v>
      </c>
      <c r="AZ121" t="s">
        <v>1823</v>
      </c>
      <c r="BD121" t="s">
        <v>1824</v>
      </c>
      <c r="BI121" t="s">
        <v>1825</v>
      </c>
      <c r="BN121" s="10" t="s">
        <v>1826</v>
      </c>
      <c r="BS121" t="s">
        <v>813</v>
      </c>
      <c r="CB121" t="s">
        <v>3692</v>
      </c>
    </row>
    <row r="122" spans="13:80" x14ac:dyDescent="0.25">
      <c r="M122" t="s">
        <v>1827</v>
      </c>
      <c r="N122" s="7" t="s">
        <v>1828</v>
      </c>
      <c r="O122" s="8" t="s">
        <v>1829</v>
      </c>
      <c r="R122" t="s">
        <v>1830</v>
      </c>
      <c r="AN122" t="s">
        <v>1831</v>
      </c>
      <c r="AO122" t="s">
        <v>1832</v>
      </c>
      <c r="AZ122" t="s">
        <v>1833</v>
      </c>
      <c r="BD122" t="s">
        <v>1834</v>
      </c>
      <c r="BI122" t="s">
        <v>1835</v>
      </c>
      <c r="BN122" s="10" t="s">
        <v>1836</v>
      </c>
      <c r="BS122" t="s">
        <v>813</v>
      </c>
      <c r="CB122" t="s">
        <v>3693</v>
      </c>
    </row>
    <row r="123" spans="13:80" x14ac:dyDescent="0.25">
      <c r="M123" t="s">
        <v>1837</v>
      </c>
      <c r="N123" s="7" t="s">
        <v>1838</v>
      </c>
      <c r="O123" s="8" t="s">
        <v>1839</v>
      </c>
      <c r="R123" t="s">
        <v>1840</v>
      </c>
      <c r="AN123" t="s">
        <v>1841</v>
      </c>
      <c r="AO123" t="s">
        <v>1842</v>
      </c>
      <c r="AZ123" t="s">
        <v>1843</v>
      </c>
      <c r="BD123" t="s">
        <v>1844</v>
      </c>
      <c r="BI123" t="s">
        <v>1845</v>
      </c>
      <c r="BN123" s="10" t="s">
        <v>1846</v>
      </c>
      <c r="BS123" t="s">
        <v>813</v>
      </c>
      <c r="CB123" t="s">
        <v>3694</v>
      </c>
    </row>
    <row r="124" spans="13:80" x14ac:dyDescent="0.25">
      <c r="M124" t="s">
        <v>1847</v>
      </c>
      <c r="N124" s="7" t="s">
        <v>1848</v>
      </c>
      <c r="O124" s="8" t="s">
        <v>1849</v>
      </c>
      <c r="R124" t="s">
        <v>1850</v>
      </c>
      <c r="AN124" t="s">
        <v>1851</v>
      </c>
      <c r="AO124" t="s">
        <v>1852</v>
      </c>
      <c r="AZ124" t="s">
        <v>1853</v>
      </c>
      <c r="BD124" t="s">
        <v>1854</v>
      </c>
      <c r="BI124" t="s">
        <v>1855</v>
      </c>
      <c r="BN124" s="10" t="s">
        <v>1856</v>
      </c>
      <c r="BS124" t="s">
        <v>813</v>
      </c>
      <c r="CB124" t="s">
        <v>3695</v>
      </c>
    </row>
    <row r="125" spans="13:80" x14ac:dyDescent="0.25">
      <c r="M125" t="s">
        <v>1857</v>
      </c>
      <c r="N125" s="7" t="s">
        <v>1858</v>
      </c>
      <c r="O125" s="8" t="s">
        <v>1859</v>
      </c>
      <c r="R125" t="s">
        <v>1860</v>
      </c>
      <c r="AN125" t="s">
        <v>1861</v>
      </c>
      <c r="AO125" t="s">
        <v>1862</v>
      </c>
      <c r="AZ125" t="s">
        <v>1863</v>
      </c>
      <c r="BD125" t="s">
        <v>1864</v>
      </c>
      <c r="BI125" t="s">
        <v>1865</v>
      </c>
      <c r="BN125" s="10" t="s">
        <v>1866</v>
      </c>
      <c r="BS125" t="s">
        <v>813</v>
      </c>
      <c r="CB125" t="s">
        <v>3696</v>
      </c>
    </row>
    <row r="126" spans="13:80" x14ac:dyDescent="0.25">
      <c r="M126" t="s">
        <v>1867</v>
      </c>
      <c r="N126" s="7" t="s">
        <v>1868</v>
      </c>
      <c r="O126" s="8" t="s">
        <v>1869</v>
      </c>
      <c r="R126" t="s">
        <v>1870</v>
      </c>
      <c r="AN126" t="s">
        <v>1871</v>
      </c>
      <c r="AO126" t="s">
        <v>1872</v>
      </c>
      <c r="AZ126" t="s">
        <v>1873</v>
      </c>
      <c r="BD126" t="s">
        <v>1874</v>
      </c>
      <c r="BI126" t="s">
        <v>1875</v>
      </c>
      <c r="BN126" s="10" t="s">
        <v>1876</v>
      </c>
      <c r="BS126" t="s">
        <v>813</v>
      </c>
      <c r="CB126" t="s">
        <v>3697</v>
      </c>
    </row>
    <row r="127" spans="13:80" x14ac:dyDescent="0.25">
      <c r="M127" t="s">
        <v>1877</v>
      </c>
      <c r="N127" s="7" t="s">
        <v>1878</v>
      </c>
      <c r="O127" s="8" t="s">
        <v>1879</v>
      </c>
      <c r="R127" t="s">
        <v>1880</v>
      </c>
      <c r="AN127" t="s">
        <v>1881</v>
      </c>
      <c r="AO127" t="s">
        <v>1882</v>
      </c>
      <c r="AZ127" t="s">
        <v>1883</v>
      </c>
      <c r="BD127" t="s">
        <v>1884</v>
      </c>
      <c r="BI127" t="s">
        <v>1885</v>
      </c>
      <c r="BN127" s="10" t="s">
        <v>1886</v>
      </c>
      <c r="BS127" t="s">
        <v>813</v>
      </c>
      <c r="CB127" t="s">
        <v>3698</v>
      </c>
    </row>
    <row r="128" spans="13:80" x14ac:dyDescent="0.25">
      <c r="M128" t="s">
        <v>1887</v>
      </c>
      <c r="N128" s="7" t="s">
        <v>1888</v>
      </c>
      <c r="O128" s="8" t="s">
        <v>1889</v>
      </c>
      <c r="R128" t="s">
        <v>1890</v>
      </c>
      <c r="AN128" t="s">
        <v>1891</v>
      </c>
      <c r="AO128" t="s">
        <v>1892</v>
      </c>
      <c r="AZ128" t="s">
        <v>1893</v>
      </c>
      <c r="BD128" t="s">
        <v>1894</v>
      </c>
      <c r="BI128" t="s">
        <v>1895</v>
      </c>
      <c r="BN128" s="10" t="s">
        <v>1896</v>
      </c>
      <c r="BS128" t="s">
        <v>813</v>
      </c>
      <c r="CB128" t="s">
        <v>3699</v>
      </c>
    </row>
    <row r="129" spans="13:80" x14ac:dyDescent="0.25">
      <c r="M129" t="s">
        <v>1897</v>
      </c>
      <c r="N129" s="7" t="s">
        <v>1898</v>
      </c>
      <c r="O129" s="8" t="s">
        <v>1899</v>
      </c>
      <c r="R129" t="s">
        <v>1900</v>
      </c>
      <c r="AN129" t="s">
        <v>1901</v>
      </c>
      <c r="AO129" t="s">
        <v>1902</v>
      </c>
      <c r="AZ129" t="s">
        <v>1903</v>
      </c>
      <c r="BD129" t="s">
        <v>1904</v>
      </c>
      <c r="BI129" t="s">
        <v>1905</v>
      </c>
      <c r="BN129" s="10" t="s">
        <v>1906</v>
      </c>
      <c r="BS129" t="s">
        <v>813</v>
      </c>
      <c r="CB129" t="s">
        <v>3700</v>
      </c>
    </row>
    <row r="130" spans="13:80" x14ac:dyDescent="0.25">
      <c r="M130" t="s">
        <v>1907</v>
      </c>
      <c r="N130" s="7" t="s">
        <v>1908</v>
      </c>
      <c r="O130" s="8" t="s">
        <v>1909</v>
      </c>
      <c r="R130" t="s">
        <v>1910</v>
      </c>
      <c r="AN130" t="s">
        <v>1911</v>
      </c>
      <c r="AO130" t="s">
        <v>1912</v>
      </c>
      <c r="AZ130" t="s">
        <v>1913</v>
      </c>
      <c r="BD130" t="s">
        <v>1914</v>
      </c>
      <c r="BI130" t="s">
        <v>1915</v>
      </c>
      <c r="BN130" s="10" t="s">
        <v>1916</v>
      </c>
      <c r="BS130" t="s">
        <v>813</v>
      </c>
      <c r="CB130" t="s">
        <v>3701</v>
      </c>
    </row>
    <row r="131" spans="13:80" x14ac:dyDescent="0.25">
      <c r="M131" t="s">
        <v>1917</v>
      </c>
      <c r="N131" s="7" t="s">
        <v>1918</v>
      </c>
      <c r="O131" s="8" t="s">
        <v>1919</v>
      </c>
      <c r="R131" t="s">
        <v>1920</v>
      </c>
      <c r="AN131" t="s">
        <v>1921</v>
      </c>
      <c r="AO131" t="s">
        <v>1922</v>
      </c>
      <c r="AZ131" t="s">
        <v>1923</v>
      </c>
      <c r="BD131" t="s">
        <v>1924</v>
      </c>
      <c r="BI131" t="s">
        <v>1925</v>
      </c>
      <c r="BN131" s="10" t="s">
        <v>1926</v>
      </c>
      <c r="BS131" t="s">
        <v>813</v>
      </c>
      <c r="CB131" t="s">
        <v>3702</v>
      </c>
    </row>
    <row r="132" spans="13:80" x14ac:dyDescent="0.25">
      <c r="M132" t="s">
        <v>1927</v>
      </c>
      <c r="N132" s="7" t="s">
        <v>1928</v>
      </c>
      <c r="O132" s="8" t="s">
        <v>1929</v>
      </c>
      <c r="R132" t="s">
        <v>1930</v>
      </c>
      <c r="AN132" t="s">
        <v>1931</v>
      </c>
      <c r="AO132" t="s">
        <v>1932</v>
      </c>
      <c r="AZ132" t="s">
        <v>1933</v>
      </c>
      <c r="BI132" t="s">
        <v>1934</v>
      </c>
      <c r="BN132" s="10" t="s">
        <v>1935</v>
      </c>
      <c r="BS132" t="s">
        <v>813</v>
      </c>
      <c r="CB132" t="s">
        <v>3703</v>
      </c>
    </row>
    <row r="133" spans="13:80" x14ac:dyDescent="0.25">
      <c r="M133" t="s">
        <v>1936</v>
      </c>
      <c r="N133" s="7" t="s">
        <v>1937</v>
      </c>
      <c r="O133" s="8" t="s">
        <v>1938</v>
      </c>
      <c r="R133" t="s">
        <v>1939</v>
      </c>
      <c r="AN133" t="s">
        <v>1940</v>
      </c>
      <c r="AO133" t="s">
        <v>1941</v>
      </c>
      <c r="AZ133" t="s">
        <v>1942</v>
      </c>
      <c r="BI133" t="s">
        <v>1943</v>
      </c>
      <c r="BN133" s="10" t="s">
        <v>1944</v>
      </c>
      <c r="BS133" t="s">
        <v>813</v>
      </c>
      <c r="CB133" t="s">
        <v>3704</v>
      </c>
    </row>
    <row r="134" spans="13:80" x14ac:dyDescent="0.25">
      <c r="M134" t="s">
        <v>1945</v>
      </c>
      <c r="N134" s="7" t="s">
        <v>1946</v>
      </c>
      <c r="O134" s="8" t="s">
        <v>1947</v>
      </c>
      <c r="R134" t="s">
        <v>1948</v>
      </c>
      <c r="AN134" t="s">
        <v>1949</v>
      </c>
      <c r="AO134" t="s">
        <v>1950</v>
      </c>
      <c r="AZ134" t="s">
        <v>1951</v>
      </c>
      <c r="BI134" t="s">
        <v>1952</v>
      </c>
      <c r="BN134" s="10" t="s">
        <v>1953</v>
      </c>
      <c r="BS134" t="s">
        <v>813</v>
      </c>
      <c r="CB134" t="s">
        <v>3705</v>
      </c>
    </row>
    <row r="135" spans="13:80" x14ac:dyDescent="0.25">
      <c r="M135" t="s">
        <v>1954</v>
      </c>
      <c r="N135" s="7" t="s">
        <v>1955</v>
      </c>
      <c r="O135" s="8" t="s">
        <v>1956</v>
      </c>
      <c r="R135" t="s">
        <v>1957</v>
      </c>
      <c r="AN135" t="s">
        <v>1958</v>
      </c>
      <c r="AO135" t="s">
        <v>1959</v>
      </c>
      <c r="AZ135" t="s">
        <v>1960</v>
      </c>
      <c r="BI135" t="s">
        <v>1961</v>
      </c>
      <c r="BN135" s="10" t="s">
        <v>1962</v>
      </c>
      <c r="BS135" t="s">
        <v>813</v>
      </c>
      <c r="CB135" t="s">
        <v>3706</v>
      </c>
    </row>
    <row r="136" spans="13:80" x14ac:dyDescent="0.25">
      <c r="M136" t="s">
        <v>1963</v>
      </c>
      <c r="N136" s="7" t="s">
        <v>1964</v>
      </c>
      <c r="O136" s="8" t="s">
        <v>1965</v>
      </c>
      <c r="R136" t="s">
        <v>1966</v>
      </c>
      <c r="AN136" t="s">
        <v>1967</v>
      </c>
      <c r="AO136" t="s">
        <v>1968</v>
      </c>
      <c r="AZ136" t="s">
        <v>1969</v>
      </c>
      <c r="BI136" t="s">
        <v>1970</v>
      </c>
      <c r="BN136" s="10" t="s">
        <v>1971</v>
      </c>
      <c r="BS136" t="s">
        <v>813</v>
      </c>
      <c r="CB136" t="s">
        <v>3707</v>
      </c>
    </row>
    <row r="137" spans="13:80" x14ac:dyDescent="0.25">
      <c r="M137" t="s">
        <v>1972</v>
      </c>
      <c r="N137" s="7" t="s">
        <v>1973</v>
      </c>
      <c r="O137" s="8" t="s">
        <v>1974</v>
      </c>
      <c r="R137" t="s">
        <v>1975</v>
      </c>
      <c r="AO137" t="s">
        <v>1976</v>
      </c>
      <c r="AZ137" t="s">
        <v>1977</v>
      </c>
      <c r="BI137" t="s">
        <v>1978</v>
      </c>
      <c r="BN137" s="10" t="s">
        <v>1979</v>
      </c>
      <c r="BS137" t="s">
        <v>813</v>
      </c>
      <c r="CB137" t="s">
        <v>3708</v>
      </c>
    </row>
    <row r="138" spans="13:80" x14ac:dyDescent="0.25">
      <c r="M138" t="s">
        <v>1980</v>
      </c>
      <c r="N138" s="7" t="s">
        <v>1981</v>
      </c>
      <c r="O138" s="8" t="s">
        <v>1982</v>
      </c>
      <c r="R138" t="s">
        <v>1983</v>
      </c>
      <c r="AO138" t="s">
        <v>1984</v>
      </c>
      <c r="AZ138" t="s">
        <v>1985</v>
      </c>
      <c r="BI138" t="s">
        <v>1986</v>
      </c>
      <c r="BN138" s="10" t="s">
        <v>1987</v>
      </c>
      <c r="BS138" t="s">
        <v>813</v>
      </c>
      <c r="CB138" t="s">
        <v>3709</v>
      </c>
    </row>
    <row r="139" spans="13:80" x14ac:dyDescent="0.25">
      <c r="M139" t="s">
        <v>1988</v>
      </c>
      <c r="N139" s="7" t="s">
        <v>1989</v>
      </c>
      <c r="O139" s="8" t="s">
        <v>1990</v>
      </c>
      <c r="R139" t="s">
        <v>1991</v>
      </c>
      <c r="AO139" t="s">
        <v>1992</v>
      </c>
      <c r="AZ139" t="s">
        <v>1993</v>
      </c>
      <c r="BI139" t="s">
        <v>1994</v>
      </c>
      <c r="BN139" s="10" t="s">
        <v>1995</v>
      </c>
      <c r="BS139" t="s">
        <v>813</v>
      </c>
      <c r="CB139" t="s">
        <v>3710</v>
      </c>
    </row>
    <row r="140" spans="13:80" x14ac:dyDescent="0.25">
      <c r="M140" t="s">
        <v>1996</v>
      </c>
      <c r="N140" s="7" t="s">
        <v>1997</v>
      </c>
      <c r="O140" s="8" t="s">
        <v>1998</v>
      </c>
      <c r="R140" t="s">
        <v>1999</v>
      </c>
      <c r="AO140" t="s">
        <v>2000</v>
      </c>
      <c r="AZ140" t="s">
        <v>2001</v>
      </c>
      <c r="BI140" t="s">
        <v>2002</v>
      </c>
      <c r="BN140" s="10" t="s">
        <v>2003</v>
      </c>
      <c r="BS140" t="s">
        <v>813</v>
      </c>
      <c r="CB140" t="s">
        <v>3711</v>
      </c>
    </row>
    <row r="141" spans="13:80" x14ac:dyDescent="0.25">
      <c r="M141" t="s">
        <v>2004</v>
      </c>
      <c r="N141" s="7" t="s">
        <v>2005</v>
      </c>
      <c r="O141" s="8" t="s">
        <v>2006</v>
      </c>
      <c r="R141" t="s">
        <v>2007</v>
      </c>
      <c r="AO141" t="s">
        <v>2008</v>
      </c>
      <c r="AZ141" t="s">
        <v>2009</v>
      </c>
      <c r="BI141" t="s">
        <v>2010</v>
      </c>
      <c r="BN141" s="10" t="s">
        <v>2011</v>
      </c>
      <c r="BS141" t="s">
        <v>813</v>
      </c>
      <c r="CB141" t="s">
        <v>3712</v>
      </c>
    </row>
    <row r="142" spans="13:80" x14ac:dyDescent="0.25">
      <c r="M142" t="s">
        <v>2012</v>
      </c>
      <c r="N142" s="7" t="s">
        <v>2013</v>
      </c>
      <c r="O142" s="8" t="s">
        <v>2014</v>
      </c>
      <c r="R142" t="s">
        <v>2015</v>
      </c>
      <c r="AO142" t="s">
        <v>2016</v>
      </c>
      <c r="AZ142" t="s">
        <v>2017</v>
      </c>
      <c r="BI142" t="s">
        <v>2018</v>
      </c>
      <c r="BN142" s="10" t="s">
        <v>2019</v>
      </c>
      <c r="BS142" t="s">
        <v>813</v>
      </c>
      <c r="CB142" t="s">
        <v>3713</v>
      </c>
    </row>
    <row r="143" spans="13:80" x14ac:dyDescent="0.25">
      <c r="M143" t="s">
        <v>2020</v>
      </c>
      <c r="N143" s="7" t="s">
        <v>2021</v>
      </c>
      <c r="O143" s="8" t="s">
        <v>2022</v>
      </c>
      <c r="R143" t="s">
        <v>2023</v>
      </c>
      <c r="AO143" t="s">
        <v>2024</v>
      </c>
      <c r="AZ143" t="s">
        <v>2025</v>
      </c>
      <c r="BI143" t="s">
        <v>2026</v>
      </c>
      <c r="BN143" s="10" t="s">
        <v>2027</v>
      </c>
      <c r="BS143" t="s">
        <v>813</v>
      </c>
      <c r="CB143" t="s">
        <v>3714</v>
      </c>
    </row>
    <row r="144" spans="13:80" x14ac:dyDescent="0.25">
      <c r="M144" t="s">
        <v>2028</v>
      </c>
      <c r="N144" s="7" t="s">
        <v>2029</v>
      </c>
      <c r="O144" s="8" t="s">
        <v>2030</v>
      </c>
      <c r="R144" t="s">
        <v>2031</v>
      </c>
      <c r="AO144" t="s">
        <v>2032</v>
      </c>
      <c r="AZ144" t="s">
        <v>2033</v>
      </c>
      <c r="BI144" t="s">
        <v>2034</v>
      </c>
      <c r="BN144" s="10" t="s">
        <v>2035</v>
      </c>
      <c r="BS144" t="s">
        <v>813</v>
      </c>
      <c r="CB144" t="s">
        <v>3715</v>
      </c>
    </row>
    <row r="145" spans="13:80" x14ac:dyDescent="0.25">
      <c r="M145" t="s">
        <v>2036</v>
      </c>
      <c r="N145" s="7" t="s">
        <v>2037</v>
      </c>
      <c r="O145" s="8" t="s">
        <v>2038</v>
      </c>
      <c r="R145" t="s">
        <v>2039</v>
      </c>
      <c r="AO145" t="s">
        <v>2040</v>
      </c>
      <c r="AZ145" t="s">
        <v>2041</v>
      </c>
      <c r="BI145" t="s">
        <v>2042</v>
      </c>
      <c r="BN145" s="10" t="s">
        <v>2043</v>
      </c>
      <c r="BS145" t="s">
        <v>813</v>
      </c>
      <c r="CB145" t="s">
        <v>3716</v>
      </c>
    </row>
    <row r="146" spans="13:80" x14ac:dyDescent="0.25">
      <c r="M146" t="s">
        <v>2044</v>
      </c>
      <c r="N146" s="7" t="s">
        <v>2045</v>
      </c>
      <c r="O146" s="8" t="s">
        <v>2046</v>
      </c>
      <c r="R146" t="s">
        <v>2047</v>
      </c>
      <c r="AO146" t="s">
        <v>2048</v>
      </c>
      <c r="AZ146" t="s">
        <v>2049</v>
      </c>
      <c r="BI146" t="s">
        <v>2050</v>
      </c>
      <c r="BN146" s="10" t="s">
        <v>2051</v>
      </c>
      <c r="BS146" t="s">
        <v>813</v>
      </c>
      <c r="CB146" t="s">
        <v>3717</v>
      </c>
    </row>
    <row r="147" spans="13:80" x14ac:dyDescent="0.25">
      <c r="M147" t="s">
        <v>2052</v>
      </c>
      <c r="N147" s="7" t="s">
        <v>2053</v>
      </c>
      <c r="O147" s="8" t="s">
        <v>2054</v>
      </c>
      <c r="R147" t="s">
        <v>2055</v>
      </c>
      <c r="AO147" t="s">
        <v>2056</v>
      </c>
      <c r="AZ147" t="s">
        <v>2057</v>
      </c>
      <c r="BI147" t="s">
        <v>2058</v>
      </c>
      <c r="BN147" s="10" t="s">
        <v>2059</v>
      </c>
      <c r="BS147" t="s">
        <v>813</v>
      </c>
      <c r="CB147" t="s">
        <v>3718</v>
      </c>
    </row>
    <row r="148" spans="13:80" x14ac:dyDescent="0.25">
      <c r="M148" t="s">
        <v>2060</v>
      </c>
      <c r="N148" s="7" t="s">
        <v>2061</v>
      </c>
      <c r="O148" s="8" t="s">
        <v>2062</v>
      </c>
      <c r="R148" t="s">
        <v>2063</v>
      </c>
      <c r="AO148" t="s">
        <v>2064</v>
      </c>
      <c r="AZ148" t="s">
        <v>2065</v>
      </c>
      <c r="BI148" t="s">
        <v>2066</v>
      </c>
      <c r="BN148" s="10" t="s">
        <v>2067</v>
      </c>
      <c r="BS148" t="s">
        <v>813</v>
      </c>
      <c r="CB148" t="s">
        <v>3719</v>
      </c>
    </row>
    <row r="149" spans="13:80" x14ac:dyDescent="0.25">
      <c r="M149" t="s">
        <v>2068</v>
      </c>
      <c r="N149" s="7" t="s">
        <v>2069</v>
      </c>
      <c r="O149" s="8" t="s">
        <v>2070</v>
      </c>
      <c r="R149" t="s">
        <v>2071</v>
      </c>
      <c r="AO149" t="s">
        <v>2072</v>
      </c>
      <c r="AZ149" t="s">
        <v>2073</v>
      </c>
      <c r="BI149" t="s">
        <v>2074</v>
      </c>
      <c r="BN149" s="10" t="s">
        <v>2075</v>
      </c>
      <c r="BS149" t="s">
        <v>813</v>
      </c>
      <c r="CB149" t="s">
        <v>3720</v>
      </c>
    </row>
    <row r="150" spans="13:80" x14ac:dyDescent="0.25">
      <c r="M150" t="s">
        <v>2076</v>
      </c>
      <c r="N150" s="7" t="s">
        <v>2077</v>
      </c>
      <c r="O150" s="8" t="s">
        <v>2078</v>
      </c>
      <c r="R150" t="s">
        <v>2079</v>
      </c>
      <c r="AO150" t="s">
        <v>2080</v>
      </c>
      <c r="AZ150" t="s">
        <v>2081</v>
      </c>
      <c r="BI150" t="s">
        <v>2082</v>
      </c>
      <c r="BN150" s="10" t="s">
        <v>2083</v>
      </c>
      <c r="BS150" t="s">
        <v>813</v>
      </c>
      <c r="CB150" t="s">
        <v>3721</v>
      </c>
    </row>
    <row r="151" spans="13:80" x14ac:dyDescent="0.25">
      <c r="M151" t="s">
        <v>2084</v>
      </c>
      <c r="N151" s="7" t="s">
        <v>2085</v>
      </c>
      <c r="O151" s="8" t="s">
        <v>2086</v>
      </c>
      <c r="R151" t="s">
        <v>2087</v>
      </c>
      <c r="AO151" t="s">
        <v>2088</v>
      </c>
      <c r="AZ151" t="s">
        <v>2089</v>
      </c>
      <c r="BI151" t="s">
        <v>2090</v>
      </c>
      <c r="BN151" s="10" t="s">
        <v>2091</v>
      </c>
      <c r="BS151" t="s">
        <v>813</v>
      </c>
      <c r="CB151" t="s">
        <v>3722</v>
      </c>
    </row>
    <row r="152" spans="13:80" x14ac:dyDescent="0.25">
      <c r="M152" t="s">
        <v>2092</v>
      </c>
      <c r="N152" s="7" t="s">
        <v>2093</v>
      </c>
      <c r="O152" s="8" t="s">
        <v>2094</v>
      </c>
      <c r="R152" t="s">
        <v>2095</v>
      </c>
      <c r="AO152" t="s">
        <v>2096</v>
      </c>
      <c r="AZ152" t="s">
        <v>2097</v>
      </c>
      <c r="BI152" t="s">
        <v>2098</v>
      </c>
      <c r="BN152" s="10" t="s">
        <v>2099</v>
      </c>
      <c r="BS152" t="s">
        <v>813</v>
      </c>
      <c r="CB152" t="s">
        <v>3723</v>
      </c>
    </row>
    <row r="153" spans="13:80" x14ac:dyDescent="0.25">
      <c r="M153" t="s">
        <v>2100</v>
      </c>
      <c r="N153" s="7" t="s">
        <v>2101</v>
      </c>
      <c r="O153" s="8" t="s">
        <v>2102</v>
      </c>
      <c r="R153" t="s">
        <v>2103</v>
      </c>
      <c r="AO153" t="s">
        <v>2104</v>
      </c>
      <c r="AZ153" t="s">
        <v>2105</v>
      </c>
      <c r="BI153" t="s">
        <v>2106</v>
      </c>
      <c r="BN153" s="10" t="s">
        <v>2107</v>
      </c>
      <c r="BS153" t="s">
        <v>813</v>
      </c>
      <c r="CB153" t="s">
        <v>3724</v>
      </c>
    </row>
    <row r="154" spans="13:80" x14ac:dyDescent="0.25">
      <c r="M154" t="s">
        <v>2108</v>
      </c>
      <c r="N154" s="7" t="s">
        <v>2109</v>
      </c>
      <c r="O154" s="8" t="s">
        <v>2110</v>
      </c>
      <c r="R154" t="s">
        <v>2111</v>
      </c>
      <c r="AO154" t="s">
        <v>2112</v>
      </c>
      <c r="AZ154" t="s">
        <v>2113</v>
      </c>
      <c r="BI154" t="s">
        <v>2114</v>
      </c>
      <c r="BN154" s="10" t="s">
        <v>2115</v>
      </c>
      <c r="BS154" t="s">
        <v>813</v>
      </c>
      <c r="CB154" t="s">
        <v>3725</v>
      </c>
    </row>
    <row r="155" spans="13:80" x14ac:dyDescent="0.25">
      <c r="M155" t="s">
        <v>2116</v>
      </c>
      <c r="N155" s="7" t="s">
        <v>2117</v>
      </c>
      <c r="O155" s="8" t="s">
        <v>2118</v>
      </c>
      <c r="R155" t="s">
        <v>2119</v>
      </c>
      <c r="AO155" t="s">
        <v>2120</v>
      </c>
      <c r="AZ155" t="s">
        <v>2121</v>
      </c>
      <c r="BI155" t="s">
        <v>2122</v>
      </c>
      <c r="BN155" s="10" t="s">
        <v>2123</v>
      </c>
      <c r="BS155" t="s">
        <v>813</v>
      </c>
      <c r="CB155" t="s">
        <v>3726</v>
      </c>
    </row>
    <row r="156" spans="13:80" x14ac:dyDescent="0.25">
      <c r="M156" t="s">
        <v>2124</v>
      </c>
      <c r="N156" s="7" t="s">
        <v>2125</v>
      </c>
      <c r="O156" s="8" t="s">
        <v>2126</v>
      </c>
      <c r="R156" t="s">
        <v>2127</v>
      </c>
      <c r="AO156" t="s">
        <v>2128</v>
      </c>
      <c r="AZ156" t="s">
        <v>2129</v>
      </c>
      <c r="BI156" t="s">
        <v>2130</v>
      </c>
      <c r="BN156" s="10" t="s">
        <v>2131</v>
      </c>
      <c r="BS156" t="s">
        <v>813</v>
      </c>
      <c r="CB156" t="s">
        <v>3727</v>
      </c>
    </row>
    <row r="157" spans="13:80" x14ac:dyDescent="0.25">
      <c r="M157" t="s">
        <v>2132</v>
      </c>
      <c r="N157" s="7" t="s">
        <v>2133</v>
      </c>
      <c r="O157" s="8" t="s">
        <v>2134</v>
      </c>
      <c r="R157" t="s">
        <v>2135</v>
      </c>
      <c r="AO157" t="s">
        <v>2136</v>
      </c>
      <c r="AZ157" t="s">
        <v>2137</v>
      </c>
      <c r="BI157" t="s">
        <v>2138</v>
      </c>
      <c r="BN157" s="10" t="s">
        <v>2139</v>
      </c>
      <c r="BS157" t="s">
        <v>813</v>
      </c>
      <c r="CB157" t="s">
        <v>3728</v>
      </c>
    </row>
    <row r="158" spans="13:80" x14ac:dyDescent="0.25">
      <c r="M158" t="s">
        <v>2140</v>
      </c>
      <c r="N158" s="7" t="s">
        <v>2141</v>
      </c>
      <c r="O158" s="8" t="s">
        <v>2142</v>
      </c>
      <c r="R158" t="s">
        <v>2143</v>
      </c>
      <c r="AO158" t="s">
        <v>2144</v>
      </c>
      <c r="AZ158" t="s">
        <v>2145</v>
      </c>
      <c r="BI158" t="s">
        <v>2146</v>
      </c>
      <c r="BN158" s="10" t="s">
        <v>2147</v>
      </c>
      <c r="BS158" t="s">
        <v>813</v>
      </c>
      <c r="CB158" t="s">
        <v>3729</v>
      </c>
    </row>
    <row r="159" spans="13:80" x14ac:dyDescent="0.25">
      <c r="M159" t="s">
        <v>2148</v>
      </c>
      <c r="N159" s="7" t="s">
        <v>2149</v>
      </c>
      <c r="O159" s="8" t="s">
        <v>2150</v>
      </c>
      <c r="R159" t="s">
        <v>2151</v>
      </c>
      <c r="AO159" t="s">
        <v>2152</v>
      </c>
      <c r="AZ159" t="s">
        <v>2153</v>
      </c>
      <c r="BI159" t="s">
        <v>2154</v>
      </c>
      <c r="BN159" s="10" t="s">
        <v>2155</v>
      </c>
      <c r="BS159" t="s">
        <v>813</v>
      </c>
      <c r="CB159" t="s">
        <v>3730</v>
      </c>
    </row>
    <row r="160" spans="13:80" x14ac:dyDescent="0.25">
      <c r="M160" t="s">
        <v>2156</v>
      </c>
      <c r="N160" s="7" t="s">
        <v>2157</v>
      </c>
      <c r="O160" s="8" t="s">
        <v>2158</v>
      </c>
      <c r="R160" t="s">
        <v>2159</v>
      </c>
      <c r="AO160" t="s">
        <v>2160</v>
      </c>
      <c r="AZ160" t="s">
        <v>2161</v>
      </c>
      <c r="BI160" t="s">
        <v>2162</v>
      </c>
      <c r="BN160" s="10" t="s">
        <v>2163</v>
      </c>
      <c r="BS160" t="s">
        <v>813</v>
      </c>
      <c r="CB160" t="s">
        <v>3731</v>
      </c>
    </row>
    <row r="161" spans="13:80" x14ac:dyDescent="0.25">
      <c r="M161" t="s">
        <v>2164</v>
      </c>
      <c r="N161" s="7" t="s">
        <v>2165</v>
      </c>
      <c r="O161" s="8" t="s">
        <v>2166</v>
      </c>
      <c r="R161" t="s">
        <v>2167</v>
      </c>
      <c r="AZ161" t="s">
        <v>2168</v>
      </c>
      <c r="BI161" t="s">
        <v>2169</v>
      </c>
      <c r="BN161" s="10" t="s">
        <v>2170</v>
      </c>
      <c r="BS161" t="s">
        <v>813</v>
      </c>
      <c r="CB161" t="s">
        <v>3732</v>
      </c>
    </row>
    <row r="162" spans="13:80" x14ac:dyDescent="0.25">
      <c r="M162" t="s">
        <v>2171</v>
      </c>
      <c r="N162" s="7" t="s">
        <v>2172</v>
      </c>
      <c r="O162" s="8" t="s">
        <v>2173</v>
      </c>
      <c r="R162" t="s">
        <v>2174</v>
      </c>
      <c r="AZ162" t="s">
        <v>2175</v>
      </c>
      <c r="BI162" t="s">
        <v>2176</v>
      </c>
      <c r="BN162" s="10" t="s">
        <v>2177</v>
      </c>
      <c r="BS162" t="s">
        <v>813</v>
      </c>
      <c r="CB162" t="s">
        <v>3733</v>
      </c>
    </row>
    <row r="163" spans="13:80" x14ac:dyDescent="0.25">
      <c r="M163" t="s">
        <v>2178</v>
      </c>
      <c r="N163" s="7" t="s">
        <v>2179</v>
      </c>
      <c r="O163" s="8" t="s">
        <v>2180</v>
      </c>
      <c r="R163" t="s">
        <v>2181</v>
      </c>
      <c r="AZ163" t="s">
        <v>2182</v>
      </c>
      <c r="BI163" t="s">
        <v>2183</v>
      </c>
      <c r="BN163" s="10" t="s">
        <v>2184</v>
      </c>
      <c r="BS163" t="s">
        <v>813</v>
      </c>
      <c r="CB163" t="s">
        <v>3734</v>
      </c>
    </row>
    <row r="164" spans="13:80" x14ac:dyDescent="0.25">
      <c r="M164" t="s">
        <v>2185</v>
      </c>
      <c r="N164" s="7" t="s">
        <v>2186</v>
      </c>
      <c r="O164" s="8" t="s">
        <v>2187</v>
      </c>
      <c r="R164" t="s">
        <v>2188</v>
      </c>
      <c r="AZ164" t="s">
        <v>2189</v>
      </c>
      <c r="BI164" t="s">
        <v>2190</v>
      </c>
      <c r="BN164" s="10" t="s">
        <v>2191</v>
      </c>
      <c r="BS164" t="s">
        <v>813</v>
      </c>
      <c r="CB164" t="s">
        <v>3735</v>
      </c>
    </row>
    <row r="165" spans="13:80" x14ac:dyDescent="0.25">
      <c r="M165" t="s">
        <v>2192</v>
      </c>
      <c r="N165" s="7" t="s">
        <v>2193</v>
      </c>
      <c r="O165" s="8" t="s">
        <v>2194</v>
      </c>
      <c r="R165" t="s">
        <v>2195</v>
      </c>
      <c r="AZ165" t="s">
        <v>2196</v>
      </c>
      <c r="BI165" t="s">
        <v>2197</v>
      </c>
      <c r="BN165" s="10" t="s">
        <v>2198</v>
      </c>
      <c r="BS165" t="s">
        <v>813</v>
      </c>
      <c r="CB165" t="s">
        <v>3736</v>
      </c>
    </row>
    <row r="166" spans="13:80" x14ac:dyDescent="0.25">
      <c r="M166" t="s">
        <v>2199</v>
      </c>
      <c r="N166" s="7" t="s">
        <v>2200</v>
      </c>
      <c r="O166" s="8" t="s">
        <v>2201</v>
      </c>
      <c r="R166" t="s">
        <v>2202</v>
      </c>
      <c r="AZ166" t="s">
        <v>2203</v>
      </c>
      <c r="BI166" t="s">
        <v>2204</v>
      </c>
      <c r="BN166" s="10" t="s">
        <v>2205</v>
      </c>
      <c r="BS166" t="s">
        <v>813</v>
      </c>
      <c r="CB166" t="s">
        <v>3737</v>
      </c>
    </row>
    <row r="167" spans="13:80" x14ac:dyDescent="0.25">
      <c r="M167" t="s">
        <v>2206</v>
      </c>
      <c r="N167" s="7" t="s">
        <v>2207</v>
      </c>
      <c r="O167" s="8" t="s">
        <v>2208</v>
      </c>
      <c r="R167" t="s">
        <v>2209</v>
      </c>
      <c r="AZ167" t="s">
        <v>2210</v>
      </c>
      <c r="BI167" t="s">
        <v>2211</v>
      </c>
      <c r="BN167" s="10" t="s">
        <v>2212</v>
      </c>
      <c r="BS167" t="s">
        <v>813</v>
      </c>
      <c r="CB167" t="s">
        <v>3738</v>
      </c>
    </row>
    <row r="168" spans="13:80" x14ac:dyDescent="0.25">
      <c r="M168" t="s">
        <v>2213</v>
      </c>
      <c r="N168" s="7" t="s">
        <v>2214</v>
      </c>
      <c r="O168" s="8" t="s">
        <v>2215</v>
      </c>
      <c r="R168" t="s">
        <v>2216</v>
      </c>
      <c r="AZ168" t="s">
        <v>2217</v>
      </c>
      <c r="BI168" t="s">
        <v>2218</v>
      </c>
      <c r="BN168" s="10" t="s">
        <v>2219</v>
      </c>
      <c r="BS168" t="s">
        <v>813</v>
      </c>
      <c r="CB168" t="s">
        <v>3739</v>
      </c>
    </row>
    <row r="169" spans="13:80" x14ac:dyDescent="0.25">
      <c r="M169" t="s">
        <v>2220</v>
      </c>
      <c r="N169" s="7" t="s">
        <v>2221</v>
      </c>
      <c r="O169" s="8" t="s">
        <v>2222</v>
      </c>
      <c r="R169" t="s">
        <v>2223</v>
      </c>
      <c r="AZ169" t="s">
        <v>2224</v>
      </c>
      <c r="BI169" t="s">
        <v>2225</v>
      </c>
      <c r="BN169" s="10" t="s">
        <v>2226</v>
      </c>
      <c r="BS169" t="s">
        <v>813</v>
      </c>
      <c r="CB169" t="s">
        <v>3740</v>
      </c>
    </row>
    <row r="170" spans="13:80" x14ac:dyDescent="0.25">
      <c r="M170" t="s">
        <v>2227</v>
      </c>
      <c r="N170" s="7" t="s">
        <v>2228</v>
      </c>
      <c r="O170" s="8" t="s">
        <v>2229</v>
      </c>
      <c r="R170" t="s">
        <v>2230</v>
      </c>
      <c r="AZ170" t="s">
        <v>2231</v>
      </c>
      <c r="BI170" t="s">
        <v>2232</v>
      </c>
      <c r="BN170" s="10" t="s">
        <v>2233</v>
      </c>
      <c r="BS170" t="s">
        <v>813</v>
      </c>
      <c r="CB170" t="s">
        <v>3741</v>
      </c>
    </row>
    <row r="171" spans="13:80" x14ac:dyDescent="0.25">
      <c r="M171" t="s">
        <v>2234</v>
      </c>
      <c r="N171" s="7" t="s">
        <v>2235</v>
      </c>
      <c r="O171" s="8" t="s">
        <v>2236</v>
      </c>
      <c r="R171" t="s">
        <v>2237</v>
      </c>
      <c r="AZ171" t="s">
        <v>2238</v>
      </c>
      <c r="BI171" t="s">
        <v>2239</v>
      </c>
      <c r="BN171" s="10" t="s">
        <v>2240</v>
      </c>
      <c r="BS171" t="s">
        <v>813</v>
      </c>
      <c r="CB171" t="s">
        <v>3742</v>
      </c>
    </row>
    <row r="172" spans="13:80" x14ac:dyDescent="0.25">
      <c r="M172" t="s">
        <v>2241</v>
      </c>
      <c r="N172" s="7" t="s">
        <v>2242</v>
      </c>
      <c r="O172" s="8" t="s">
        <v>2243</v>
      </c>
      <c r="R172" t="s">
        <v>2244</v>
      </c>
      <c r="AZ172" t="s">
        <v>2245</v>
      </c>
      <c r="BI172" t="s">
        <v>2246</v>
      </c>
      <c r="BN172" s="10" t="s">
        <v>2247</v>
      </c>
      <c r="BS172" t="s">
        <v>813</v>
      </c>
      <c r="CB172" t="s">
        <v>3743</v>
      </c>
    </row>
    <row r="173" spans="13:80" x14ac:dyDescent="0.25">
      <c r="M173" t="s">
        <v>2248</v>
      </c>
      <c r="N173" s="7" t="s">
        <v>2249</v>
      </c>
      <c r="O173" s="8" t="s">
        <v>2250</v>
      </c>
      <c r="R173" t="s">
        <v>2251</v>
      </c>
      <c r="AZ173" t="s">
        <v>2252</v>
      </c>
      <c r="BI173" t="s">
        <v>2253</v>
      </c>
      <c r="BN173" s="10" t="s">
        <v>2254</v>
      </c>
      <c r="BS173" t="s">
        <v>813</v>
      </c>
      <c r="CB173" t="s">
        <v>3744</v>
      </c>
    </row>
    <row r="174" spans="13:80" x14ac:dyDescent="0.25">
      <c r="M174" t="s">
        <v>2255</v>
      </c>
      <c r="N174" s="7" t="s">
        <v>2256</v>
      </c>
      <c r="O174" s="8" t="s">
        <v>2257</v>
      </c>
      <c r="R174" t="s">
        <v>2258</v>
      </c>
      <c r="AZ174" t="s">
        <v>2259</v>
      </c>
      <c r="BI174" t="s">
        <v>2260</v>
      </c>
      <c r="BN174" s="10" t="s">
        <v>2261</v>
      </c>
      <c r="BS174" t="s">
        <v>813</v>
      </c>
      <c r="CB174" t="s">
        <v>3745</v>
      </c>
    </row>
    <row r="175" spans="13:80" x14ac:dyDescent="0.25">
      <c r="M175" t="s">
        <v>2262</v>
      </c>
      <c r="N175" s="7" t="s">
        <v>2263</v>
      </c>
      <c r="O175" s="8" t="s">
        <v>2264</v>
      </c>
      <c r="R175" t="s">
        <v>2265</v>
      </c>
      <c r="AZ175" t="s">
        <v>2266</v>
      </c>
      <c r="BI175" t="s">
        <v>2267</v>
      </c>
      <c r="BN175" s="10" t="s">
        <v>2268</v>
      </c>
      <c r="BS175" t="s">
        <v>813</v>
      </c>
      <c r="CB175" t="s">
        <v>3746</v>
      </c>
    </row>
    <row r="176" spans="13:80" x14ac:dyDescent="0.25">
      <c r="M176" t="s">
        <v>2269</v>
      </c>
      <c r="N176" s="7" t="s">
        <v>2270</v>
      </c>
      <c r="O176" s="8" t="s">
        <v>2271</v>
      </c>
      <c r="R176" t="s">
        <v>2272</v>
      </c>
      <c r="AZ176" t="s">
        <v>2273</v>
      </c>
      <c r="BI176" t="s">
        <v>2274</v>
      </c>
      <c r="BN176" s="10" t="s">
        <v>2275</v>
      </c>
      <c r="BS176" t="s">
        <v>813</v>
      </c>
      <c r="CB176" t="s">
        <v>3747</v>
      </c>
    </row>
    <row r="177" spans="13:80" x14ac:dyDescent="0.25">
      <c r="M177" t="s">
        <v>2276</v>
      </c>
      <c r="N177" s="7" t="s">
        <v>2277</v>
      </c>
      <c r="R177" t="s">
        <v>2278</v>
      </c>
      <c r="AZ177" t="s">
        <v>2279</v>
      </c>
      <c r="BI177" t="s">
        <v>2280</v>
      </c>
      <c r="BN177" s="10" t="s">
        <v>2281</v>
      </c>
      <c r="BS177" t="s">
        <v>813</v>
      </c>
      <c r="CB177" t="s">
        <v>3748</v>
      </c>
    </row>
    <row r="178" spans="13:80" x14ac:dyDescent="0.25">
      <c r="R178" t="s">
        <v>2282</v>
      </c>
      <c r="AZ178" t="s">
        <v>2283</v>
      </c>
      <c r="BI178" t="s">
        <v>2284</v>
      </c>
      <c r="BN178" s="10" t="s">
        <v>2285</v>
      </c>
      <c r="BS178" t="s">
        <v>813</v>
      </c>
      <c r="CB178" t="s">
        <v>3749</v>
      </c>
    </row>
    <row r="179" spans="13:80" x14ac:dyDescent="0.25">
      <c r="R179" t="s">
        <v>2286</v>
      </c>
      <c r="AZ179" t="s">
        <v>2287</v>
      </c>
      <c r="BI179" t="s">
        <v>2288</v>
      </c>
      <c r="BN179" s="10" t="s">
        <v>2289</v>
      </c>
      <c r="BS179" t="s">
        <v>813</v>
      </c>
      <c r="CB179" t="s">
        <v>3750</v>
      </c>
    </row>
    <row r="180" spans="13:80" x14ac:dyDescent="0.25">
      <c r="R180" t="s">
        <v>2290</v>
      </c>
      <c r="AZ180" t="s">
        <v>2291</v>
      </c>
      <c r="BI180" t="s">
        <v>2292</v>
      </c>
      <c r="BN180" s="10" t="s">
        <v>2293</v>
      </c>
      <c r="BS180" t="s">
        <v>813</v>
      </c>
      <c r="CB180" t="s">
        <v>3751</v>
      </c>
    </row>
    <row r="181" spans="13:80" x14ac:dyDescent="0.25">
      <c r="R181" t="s">
        <v>2294</v>
      </c>
      <c r="AZ181" t="s">
        <v>2295</v>
      </c>
      <c r="BI181" t="s">
        <v>2296</v>
      </c>
      <c r="BN181" s="10" t="s">
        <v>2297</v>
      </c>
      <c r="BS181" t="s">
        <v>813</v>
      </c>
      <c r="CB181" t="s">
        <v>3752</v>
      </c>
    </row>
    <row r="182" spans="13:80" x14ac:dyDescent="0.25">
      <c r="R182" t="s">
        <v>2298</v>
      </c>
      <c r="AZ182" t="s">
        <v>2299</v>
      </c>
      <c r="BI182" t="s">
        <v>2300</v>
      </c>
      <c r="BN182" s="10" t="s">
        <v>2301</v>
      </c>
      <c r="BS182" t="s">
        <v>813</v>
      </c>
      <c r="CB182" t="s">
        <v>3753</v>
      </c>
    </row>
    <row r="183" spans="13:80" x14ac:dyDescent="0.25">
      <c r="R183" t="s">
        <v>2302</v>
      </c>
      <c r="AZ183" t="s">
        <v>2303</v>
      </c>
      <c r="BI183" t="s">
        <v>2304</v>
      </c>
      <c r="BN183" s="10" t="s">
        <v>2305</v>
      </c>
      <c r="BS183" t="s">
        <v>813</v>
      </c>
      <c r="CB183" t="s">
        <v>3754</v>
      </c>
    </row>
    <row r="184" spans="13:80" x14ac:dyDescent="0.25">
      <c r="R184" t="s">
        <v>2306</v>
      </c>
      <c r="AZ184" t="s">
        <v>2307</v>
      </c>
      <c r="BI184" t="s">
        <v>2308</v>
      </c>
      <c r="BN184" s="10" t="s">
        <v>2309</v>
      </c>
      <c r="BS184" t="s">
        <v>813</v>
      </c>
      <c r="CB184" t="s">
        <v>3755</v>
      </c>
    </row>
    <row r="185" spans="13:80" x14ac:dyDescent="0.25">
      <c r="R185" t="s">
        <v>2310</v>
      </c>
      <c r="AZ185" t="s">
        <v>2311</v>
      </c>
      <c r="BI185" t="s">
        <v>2312</v>
      </c>
      <c r="BN185" s="10" t="s">
        <v>2313</v>
      </c>
      <c r="BS185" t="s">
        <v>813</v>
      </c>
      <c r="CB185" t="s">
        <v>3756</v>
      </c>
    </row>
    <row r="186" spans="13:80" x14ac:dyDescent="0.25">
      <c r="R186" t="s">
        <v>2314</v>
      </c>
      <c r="AZ186" t="s">
        <v>2315</v>
      </c>
      <c r="BI186" t="s">
        <v>2316</v>
      </c>
      <c r="BN186" s="10" t="s">
        <v>2317</v>
      </c>
      <c r="BS186" t="s">
        <v>813</v>
      </c>
      <c r="CB186" t="s">
        <v>3757</v>
      </c>
    </row>
    <row r="187" spans="13:80" x14ac:dyDescent="0.25">
      <c r="R187" t="s">
        <v>2318</v>
      </c>
      <c r="AZ187" t="s">
        <v>2319</v>
      </c>
      <c r="BI187" t="s">
        <v>2320</v>
      </c>
      <c r="BN187" s="10" t="s">
        <v>2321</v>
      </c>
      <c r="BS187" t="s">
        <v>813</v>
      </c>
      <c r="CB187" t="s">
        <v>3758</v>
      </c>
    </row>
    <row r="188" spans="13:80" x14ac:dyDescent="0.25">
      <c r="R188" t="s">
        <v>2322</v>
      </c>
      <c r="AZ188" t="s">
        <v>2323</v>
      </c>
      <c r="BI188" t="s">
        <v>2324</v>
      </c>
      <c r="BN188" s="10" t="s">
        <v>2325</v>
      </c>
      <c r="BS188" t="s">
        <v>813</v>
      </c>
      <c r="CB188" t="s">
        <v>3759</v>
      </c>
    </row>
    <row r="189" spans="13:80" x14ac:dyDescent="0.25">
      <c r="R189" t="s">
        <v>2326</v>
      </c>
      <c r="AZ189" t="s">
        <v>2327</v>
      </c>
      <c r="BI189" t="s">
        <v>2328</v>
      </c>
      <c r="BN189" s="10" t="s">
        <v>2329</v>
      </c>
      <c r="BS189" t="s">
        <v>813</v>
      </c>
      <c r="CB189" t="s">
        <v>3760</v>
      </c>
    </row>
    <row r="190" spans="13:80" x14ac:dyDescent="0.25">
      <c r="R190" t="s">
        <v>2330</v>
      </c>
      <c r="AZ190" t="s">
        <v>2331</v>
      </c>
      <c r="BI190" t="s">
        <v>2332</v>
      </c>
      <c r="BN190" s="10" t="s">
        <v>2333</v>
      </c>
      <c r="BS190" t="s">
        <v>813</v>
      </c>
      <c r="CB190" t="s">
        <v>3761</v>
      </c>
    </row>
    <row r="191" spans="13:80" x14ac:dyDescent="0.25">
      <c r="R191" t="s">
        <v>2334</v>
      </c>
      <c r="AZ191" t="s">
        <v>2335</v>
      </c>
      <c r="BI191" t="s">
        <v>2336</v>
      </c>
      <c r="BN191" s="10" t="s">
        <v>2337</v>
      </c>
      <c r="BS191" t="s">
        <v>813</v>
      </c>
      <c r="CB191" t="s">
        <v>3762</v>
      </c>
    </row>
    <row r="192" spans="13:80" x14ac:dyDescent="0.25">
      <c r="R192" t="s">
        <v>2338</v>
      </c>
      <c r="AZ192" t="s">
        <v>2339</v>
      </c>
      <c r="BI192" t="s">
        <v>2340</v>
      </c>
      <c r="BN192" s="10" t="s">
        <v>2341</v>
      </c>
      <c r="BS192" t="s">
        <v>813</v>
      </c>
      <c r="CB192" t="s">
        <v>3763</v>
      </c>
    </row>
    <row r="193" spans="18:80" x14ac:dyDescent="0.25">
      <c r="R193" t="s">
        <v>2342</v>
      </c>
      <c r="AZ193" t="s">
        <v>2343</v>
      </c>
      <c r="BI193" t="s">
        <v>2344</v>
      </c>
      <c r="BN193" s="10" t="s">
        <v>2345</v>
      </c>
      <c r="BS193" t="s">
        <v>813</v>
      </c>
      <c r="CB193" t="s">
        <v>3764</v>
      </c>
    </row>
    <row r="194" spans="18:80" x14ac:dyDescent="0.25">
      <c r="R194" t="s">
        <v>2346</v>
      </c>
      <c r="AZ194" t="s">
        <v>2347</v>
      </c>
      <c r="BI194" t="s">
        <v>2348</v>
      </c>
      <c r="BN194" s="10" t="s">
        <v>2349</v>
      </c>
      <c r="BS194" t="s">
        <v>813</v>
      </c>
      <c r="CB194" t="s">
        <v>3765</v>
      </c>
    </row>
    <row r="195" spans="18:80" x14ac:dyDescent="0.25">
      <c r="R195" t="s">
        <v>2350</v>
      </c>
      <c r="AZ195" t="s">
        <v>2351</v>
      </c>
      <c r="BI195" t="s">
        <v>2352</v>
      </c>
      <c r="BN195" s="10" t="s">
        <v>2353</v>
      </c>
      <c r="BS195" t="s">
        <v>813</v>
      </c>
      <c r="CB195" t="s">
        <v>3766</v>
      </c>
    </row>
    <row r="196" spans="18:80" x14ac:dyDescent="0.25">
      <c r="R196" t="s">
        <v>2354</v>
      </c>
      <c r="AZ196" t="s">
        <v>2355</v>
      </c>
      <c r="BI196" t="s">
        <v>2356</v>
      </c>
      <c r="BN196" s="10" t="s">
        <v>2357</v>
      </c>
      <c r="BS196" t="s">
        <v>813</v>
      </c>
      <c r="CB196" t="s">
        <v>3767</v>
      </c>
    </row>
    <row r="197" spans="18:80" x14ac:dyDescent="0.25">
      <c r="R197" t="s">
        <v>2358</v>
      </c>
      <c r="AZ197" t="s">
        <v>2359</v>
      </c>
      <c r="BI197" t="s">
        <v>2360</v>
      </c>
      <c r="BN197" s="10" t="s">
        <v>2361</v>
      </c>
      <c r="BS197" t="s">
        <v>813</v>
      </c>
      <c r="CB197" t="s">
        <v>3768</v>
      </c>
    </row>
    <row r="198" spans="18:80" x14ac:dyDescent="0.25">
      <c r="R198" t="s">
        <v>2362</v>
      </c>
      <c r="AZ198" t="s">
        <v>2363</v>
      </c>
      <c r="BI198" t="s">
        <v>2364</v>
      </c>
      <c r="BN198" s="10" t="s">
        <v>2365</v>
      </c>
      <c r="BS198" t="s">
        <v>813</v>
      </c>
      <c r="CB198" t="s">
        <v>3769</v>
      </c>
    </row>
    <row r="199" spans="18:80" x14ac:dyDescent="0.25">
      <c r="R199" t="s">
        <v>2366</v>
      </c>
      <c r="AZ199" t="s">
        <v>2367</v>
      </c>
      <c r="BI199" t="s">
        <v>2368</v>
      </c>
      <c r="BN199" s="10" t="s">
        <v>2369</v>
      </c>
      <c r="BS199" t="s">
        <v>813</v>
      </c>
      <c r="CB199" t="s">
        <v>3770</v>
      </c>
    </row>
    <row r="200" spans="18:80" x14ac:dyDescent="0.25">
      <c r="R200" t="s">
        <v>2370</v>
      </c>
      <c r="AZ200" t="s">
        <v>2371</v>
      </c>
      <c r="BI200" t="s">
        <v>2372</v>
      </c>
      <c r="BN200" s="10" t="s">
        <v>2373</v>
      </c>
      <c r="BS200" t="s">
        <v>813</v>
      </c>
      <c r="CB200" t="s">
        <v>3771</v>
      </c>
    </row>
    <row r="201" spans="18:80" x14ac:dyDescent="0.25">
      <c r="R201" t="s">
        <v>2374</v>
      </c>
      <c r="AZ201" t="s">
        <v>2375</v>
      </c>
      <c r="BI201" t="s">
        <v>2376</v>
      </c>
      <c r="BN201" s="10" t="s">
        <v>2377</v>
      </c>
      <c r="BS201" t="s">
        <v>813</v>
      </c>
      <c r="CB201" t="s">
        <v>3772</v>
      </c>
    </row>
    <row r="202" spans="18:80" x14ac:dyDescent="0.25">
      <c r="R202" t="s">
        <v>2378</v>
      </c>
      <c r="AZ202" t="s">
        <v>2379</v>
      </c>
      <c r="BI202" t="s">
        <v>2380</v>
      </c>
      <c r="BN202" s="10" t="s">
        <v>2381</v>
      </c>
      <c r="BS202" t="s">
        <v>813</v>
      </c>
      <c r="CB202" t="s">
        <v>3773</v>
      </c>
    </row>
    <row r="203" spans="18:80" x14ac:dyDescent="0.25">
      <c r="R203" t="s">
        <v>2382</v>
      </c>
      <c r="AZ203" t="s">
        <v>2383</v>
      </c>
      <c r="BI203" t="s">
        <v>2384</v>
      </c>
      <c r="BN203" s="10" t="s">
        <v>2385</v>
      </c>
      <c r="BS203" t="s">
        <v>813</v>
      </c>
      <c r="CB203" t="s">
        <v>3774</v>
      </c>
    </row>
    <row r="204" spans="18:80" x14ac:dyDescent="0.25">
      <c r="R204" t="s">
        <v>2386</v>
      </c>
      <c r="AZ204" t="s">
        <v>2387</v>
      </c>
      <c r="BI204" t="s">
        <v>2388</v>
      </c>
      <c r="BN204" s="10" t="s">
        <v>2389</v>
      </c>
      <c r="BS204" t="s">
        <v>813</v>
      </c>
      <c r="CB204" t="s">
        <v>3775</v>
      </c>
    </row>
    <row r="205" spans="18:80" x14ac:dyDescent="0.25">
      <c r="R205" t="s">
        <v>2390</v>
      </c>
      <c r="AZ205" t="s">
        <v>2391</v>
      </c>
      <c r="BI205" t="s">
        <v>2392</v>
      </c>
      <c r="BN205" s="10" t="s">
        <v>2393</v>
      </c>
      <c r="BS205" t="s">
        <v>813</v>
      </c>
      <c r="CB205" t="s">
        <v>3776</v>
      </c>
    </row>
    <row r="206" spans="18:80" x14ac:dyDescent="0.25">
      <c r="R206" t="s">
        <v>2394</v>
      </c>
      <c r="AZ206" t="s">
        <v>2395</v>
      </c>
      <c r="BI206" t="s">
        <v>2396</v>
      </c>
      <c r="BN206" s="10" t="s">
        <v>2397</v>
      </c>
      <c r="BS206" t="s">
        <v>813</v>
      </c>
      <c r="CB206" t="s">
        <v>3777</v>
      </c>
    </row>
    <row r="207" spans="18:80" x14ac:dyDescent="0.25">
      <c r="R207" t="s">
        <v>2398</v>
      </c>
      <c r="AZ207" t="s">
        <v>2399</v>
      </c>
      <c r="BI207" t="s">
        <v>2400</v>
      </c>
      <c r="BN207" s="10" t="s">
        <v>2401</v>
      </c>
      <c r="BS207" t="s">
        <v>813</v>
      </c>
      <c r="CB207" t="s">
        <v>3778</v>
      </c>
    </row>
    <row r="208" spans="18:80" x14ac:dyDescent="0.25">
      <c r="R208" t="s">
        <v>2402</v>
      </c>
      <c r="AZ208" t="s">
        <v>2403</v>
      </c>
      <c r="BI208" t="s">
        <v>2404</v>
      </c>
      <c r="BN208" s="10" t="s">
        <v>2405</v>
      </c>
      <c r="BS208" t="s">
        <v>813</v>
      </c>
      <c r="CB208" t="s">
        <v>3779</v>
      </c>
    </row>
    <row r="209" spans="18:80" x14ac:dyDescent="0.25">
      <c r="R209" t="s">
        <v>2406</v>
      </c>
      <c r="AZ209" t="s">
        <v>2407</v>
      </c>
      <c r="BI209" t="s">
        <v>2408</v>
      </c>
      <c r="BN209" s="10" t="s">
        <v>2409</v>
      </c>
      <c r="BS209" t="s">
        <v>813</v>
      </c>
      <c r="CB209" t="s">
        <v>3780</v>
      </c>
    </row>
    <row r="210" spans="18:80" x14ac:dyDescent="0.25">
      <c r="R210" t="s">
        <v>2410</v>
      </c>
      <c r="AZ210" t="s">
        <v>2411</v>
      </c>
      <c r="BI210" t="s">
        <v>2412</v>
      </c>
      <c r="BN210" s="10" t="s">
        <v>2413</v>
      </c>
      <c r="BS210" t="s">
        <v>813</v>
      </c>
      <c r="CB210" t="s">
        <v>3781</v>
      </c>
    </row>
    <row r="211" spans="18:80" x14ac:dyDescent="0.25">
      <c r="R211" t="s">
        <v>2414</v>
      </c>
      <c r="AZ211" t="s">
        <v>2415</v>
      </c>
      <c r="BI211" t="s">
        <v>2416</v>
      </c>
      <c r="BN211" s="10" t="s">
        <v>2417</v>
      </c>
      <c r="BS211" t="s">
        <v>813</v>
      </c>
      <c r="CB211" t="s">
        <v>3782</v>
      </c>
    </row>
    <row r="212" spans="18:80" x14ac:dyDescent="0.25">
      <c r="R212" t="s">
        <v>2418</v>
      </c>
      <c r="AZ212" t="s">
        <v>2419</v>
      </c>
      <c r="BI212" t="s">
        <v>2420</v>
      </c>
      <c r="BN212" s="10" t="s">
        <v>2421</v>
      </c>
      <c r="BS212" t="s">
        <v>813</v>
      </c>
      <c r="CB212" t="s">
        <v>3783</v>
      </c>
    </row>
    <row r="213" spans="18:80" x14ac:dyDescent="0.25">
      <c r="R213" t="s">
        <v>2422</v>
      </c>
      <c r="AZ213" t="s">
        <v>2423</v>
      </c>
      <c r="BI213" t="s">
        <v>2424</v>
      </c>
      <c r="BN213" s="10" t="s">
        <v>2425</v>
      </c>
      <c r="BS213" t="s">
        <v>813</v>
      </c>
      <c r="CB213" t="s">
        <v>3784</v>
      </c>
    </row>
    <row r="214" spans="18:80" x14ac:dyDescent="0.25">
      <c r="R214" t="s">
        <v>2426</v>
      </c>
      <c r="AZ214" t="s">
        <v>2427</v>
      </c>
      <c r="BF214" s="5" t="s">
        <v>165</v>
      </c>
      <c r="BI214" t="s">
        <v>2428</v>
      </c>
      <c r="BN214" s="10" t="s">
        <v>2429</v>
      </c>
      <c r="BS214" t="s">
        <v>813</v>
      </c>
      <c r="CB214" t="s">
        <v>3785</v>
      </c>
    </row>
    <row r="215" spans="18:80" x14ac:dyDescent="0.25">
      <c r="R215" t="s">
        <v>2430</v>
      </c>
      <c r="BI215" t="s">
        <v>2431</v>
      </c>
      <c r="BN215" s="10" t="s">
        <v>2432</v>
      </c>
      <c r="BS215" t="s">
        <v>813</v>
      </c>
      <c r="CB215" t="s">
        <v>3786</v>
      </c>
    </row>
    <row r="216" spans="18:80" x14ac:dyDescent="0.25">
      <c r="R216" t="s">
        <v>2433</v>
      </c>
      <c r="BI216" t="s">
        <v>2434</v>
      </c>
      <c r="BN216" s="10" t="s">
        <v>2435</v>
      </c>
      <c r="BS216" t="s">
        <v>813</v>
      </c>
      <c r="CB216" t="s">
        <v>3787</v>
      </c>
    </row>
    <row r="217" spans="18:80" x14ac:dyDescent="0.25">
      <c r="R217" t="s">
        <v>2436</v>
      </c>
      <c r="BI217" t="s">
        <v>2437</v>
      </c>
      <c r="BN217" s="10" t="s">
        <v>2438</v>
      </c>
      <c r="BS217" t="s">
        <v>813</v>
      </c>
      <c r="CB217" t="s">
        <v>3788</v>
      </c>
    </row>
    <row r="218" spans="18:80" x14ac:dyDescent="0.25">
      <c r="R218" t="s">
        <v>2439</v>
      </c>
      <c r="BI218" t="s">
        <v>2440</v>
      </c>
      <c r="BN218" s="10" t="s">
        <v>2441</v>
      </c>
      <c r="BS218" t="s">
        <v>813</v>
      </c>
      <c r="CB218" t="s">
        <v>3789</v>
      </c>
    </row>
    <row r="219" spans="18:80" x14ac:dyDescent="0.25">
      <c r="R219" t="s">
        <v>2442</v>
      </c>
      <c r="BI219" t="s">
        <v>2443</v>
      </c>
      <c r="BN219" s="10" t="s">
        <v>2444</v>
      </c>
      <c r="BS219" t="s">
        <v>813</v>
      </c>
      <c r="CB219" t="s">
        <v>3790</v>
      </c>
    </row>
    <row r="220" spans="18:80" x14ac:dyDescent="0.25">
      <c r="R220" t="s">
        <v>2445</v>
      </c>
      <c r="BI220" t="s">
        <v>2446</v>
      </c>
      <c r="BN220" s="10" t="s">
        <v>2447</v>
      </c>
      <c r="BS220" t="s">
        <v>813</v>
      </c>
      <c r="CB220" t="s">
        <v>3791</v>
      </c>
    </row>
    <row r="221" spans="18:80" x14ac:dyDescent="0.25">
      <c r="R221" t="s">
        <v>2448</v>
      </c>
      <c r="BI221" t="s">
        <v>2449</v>
      </c>
      <c r="BN221" s="10" t="s">
        <v>2450</v>
      </c>
      <c r="BS221" t="s">
        <v>813</v>
      </c>
      <c r="CB221" t="s">
        <v>3792</v>
      </c>
    </row>
    <row r="222" spans="18:80" x14ac:dyDescent="0.25">
      <c r="R222" t="s">
        <v>2451</v>
      </c>
      <c r="BI222" t="s">
        <v>2452</v>
      </c>
      <c r="BN222" s="10" t="s">
        <v>2453</v>
      </c>
      <c r="BS222" t="s">
        <v>813</v>
      </c>
      <c r="CB222" t="s">
        <v>3793</v>
      </c>
    </row>
    <row r="223" spans="18:80" x14ac:dyDescent="0.25">
      <c r="R223" t="s">
        <v>2454</v>
      </c>
      <c r="BI223" t="s">
        <v>2455</v>
      </c>
      <c r="BN223" s="10" t="s">
        <v>2456</v>
      </c>
      <c r="BS223" t="s">
        <v>813</v>
      </c>
      <c r="CB223" t="s">
        <v>3794</v>
      </c>
    </row>
    <row r="224" spans="18:80" x14ac:dyDescent="0.25">
      <c r="R224" t="s">
        <v>2457</v>
      </c>
      <c r="BI224" t="s">
        <v>2458</v>
      </c>
      <c r="BN224" s="10" t="s">
        <v>2459</v>
      </c>
      <c r="BS224" t="s">
        <v>813</v>
      </c>
      <c r="CB224" t="s">
        <v>3795</v>
      </c>
    </row>
    <row r="225" spans="18:80" x14ac:dyDescent="0.25">
      <c r="R225" t="s">
        <v>2460</v>
      </c>
      <c r="BI225" t="s">
        <v>2461</v>
      </c>
      <c r="BN225" s="10" t="s">
        <v>2462</v>
      </c>
      <c r="BS225" t="s">
        <v>813</v>
      </c>
      <c r="CB225" t="s">
        <v>3796</v>
      </c>
    </row>
    <row r="226" spans="18:80" x14ac:dyDescent="0.25">
      <c r="R226" t="s">
        <v>2463</v>
      </c>
      <c r="BI226" t="s">
        <v>2464</v>
      </c>
      <c r="BN226" s="10" t="s">
        <v>2465</v>
      </c>
      <c r="BS226" t="s">
        <v>813</v>
      </c>
      <c r="CB226" t="s">
        <v>3797</v>
      </c>
    </row>
    <row r="227" spans="18:80" x14ac:dyDescent="0.25">
      <c r="R227" t="s">
        <v>2466</v>
      </c>
      <c r="BI227" t="s">
        <v>2467</v>
      </c>
      <c r="BN227" s="10" t="s">
        <v>2468</v>
      </c>
      <c r="BS227" t="s">
        <v>813</v>
      </c>
      <c r="CB227" t="s">
        <v>3798</v>
      </c>
    </row>
    <row r="228" spans="18:80" x14ac:dyDescent="0.25">
      <c r="R228" t="s">
        <v>2469</v>
      </c>
      <c r="BI228" t="s">
        <v>2470</v>
      </c>
      <c r="BN228" s="10" t="s">
        <v>2471</v>
      </c>
      <c r="BS228" t="s">
        <v>813</v>
      </c>
      <c r="CB228" t="s">
        <v>3799</v>
      </c>
    </row>
    <row r="229" spans="18:80" x14ac:dyDescent="0.25">
      <c r="R229" t="s">
        <v>2472</v>
      </c>
      <c r="BI229" t="s">
        <v>2473</v>
      </c>
      <c r="BN229" s="10" t="s">
        <v>2474</v>
      </c>
      <c r="BS229" t="s">
        <v>813</v>
      </c>
      <c r="CB229" t="s">
        <v>3800</v>
      </c>
    </row>
    <row r="230" spans="18:80" x14ac:dyDescent="0.25">
      <c r="R230" t="s">
        <v>2475</v>
      </c>
      <c r="BI230" t="s">
        <v>2476</v>
      </c>
      <c r="BN230" s="10" t="s">
        <v>2477</v>
      </c>
      <c r="BS230" t="s">
        <v>813</v>
      </c>
      <c r="CB230" t="s">
        <v>3801</v>
      </c>
    </row>
    <row r="231" spans="18:80" x14ac:dyDescent="0.25">
      <c r="R231" t="s">
        <v>2478</v>
      </c>
      <c r="BI231" t="s">
        <v>2479</v>
      </c>
      <c r="BN231" s="10" t="s">
        <v>2480</v>
      </c>
      <c r="BS231" t="s">
        <v>813</v>
      </c>
      <c r="CB231" t="s">
        <v>3802</v>
      </c>
    </row>
    <row r="232" spans="18:80" x14ac:dyDescent="0.25">
      <c r="R232" t="s">
        <v>2481</v>
      </c>
      <c r="BI232" t="s">
        <v>2482</v>
      </c>
      <c r="BN232" s="10" t="s">
        <v>2483</v>
      </c>
      <c r="BS232" t="s">
        <v>813</v>
      </c>
      <c r="CB232" t="s">
        <v>3803</v>
      </c>
    </row>
    <row r="233" spans="18:80" x14ac:dyDescent="0.25">
      <c r="R233" t="s">
        <v>2484</v>
      </c>
      <c r="BI233" t="s">
        <v>2485</v>
      </c>
      <c r="BN233" s="10" t="s">
        <v>2486</v>
      </c>
      <c r="BS233" t="s">
        <v>813</v>
      </c>
      <c r="CB233" t="s">
        <v>3804</v>
      </c>
    </row>
    <row r="234" spans="18:80" x14ac:dyDescent="0.25">
      <c r="R234" t="s">
        <v>2487</v>
      </c>
      <c r="BI234" t="s">
        <v>2488</v>
      </c>
      <c r="BN234" s="10" t="s">
        <v>2489</v>
      </c>
      <c r="BS234" t="s">
        <v>813</v>
      </c>
      <c r="CB234" t="s">
        <v>3805</v>
      </c>
    </row>
    <row r="235" spans="18:80" x14ac:dyDescent="0.25">
      <c r="R235" t="s">
        <v>2490</v>
      </c>
      <c r="BI235" t="s">
        <v>2491</v>
      </c>
      <c r="BN235" s="10" t="s">
        <v>2492</v>
      </c>
      <c r="BS235" t="s">
        <v>813</v>
      </c>
      <c r="CB235" t="s">
        <v>3806</v>
      </c>
    </row>
    <row r="236" spans="18:80" x14ac:dyDescent="0.25">
      <c r="R236" t="s">
        <v>2493</v>
      </c>
      <c r="BI236" t="s">
        <v>2494</v>
      </c>
      <c r="BN236" s="10" t="s">
        <v>2495</v>
      </c>
      <c r="BS236" t="s">
        <v>813</v>
      </c>
      <c r="CB236" t="s">
        <v>3807</v>
      </c>
    </row>
    <row r="237" spans="18:80" x14ac:dyDescent="0.25">
      <c r="R237" t="s">
        <v>2496</v>
      </c>
      <c r="BI237" t="s">
        <v>2497</v>
      </c>
      <c r="BN237" s="10" t="s">
        <v>2498</v>
      </c>
      <c r="BS237" t="s">
        <v>813</v>
      </c>
      <c r="CB237" t="s">
        <v>3808</v>
      </c>
    </row>
    <row r="238" spans="18:80" x14ac:dyDescent="0.25">
      <c r="R238" t="s">
        <v>2499</v>
      </c>
      <c r="BI238" t="s">
        <v>2500</v>
      </c>
      <c r="BN238" s="10" t="s">
        <v>2501</v>
      </c>
      <c r="BS238" t="s">
        <v>813</v>
      </c>
      <c r="CB238" t="s">
        <v>3809</v>
      </c>
    </row>
    <row r="239" spans="18:80" x14ac:dyDescent="0.25">
      <c r="R239" t="s">
        <v>2502</v>
      </c>
      <c r="BI239" t="s">
        <v>2503</v>
      </c>
      <c r="BN239" s="10" t="s">
        <v>2504</v>
      </c>
      <c r="BS239" t="s">
        <v>813</v>
      </c>
      <c r="CB239" t="s">
        <v>3810</v>
      </c>
    </row>
    <row r="240" spans="18:80" x14ac:dyDescent="0.25">
      <c r="R240" t="s">
        <v>2505</v>
      </c>
      <c r="BI240" t="s">
        <v>2506</v>
      </c>
      <c r="BN240" s="10" t="s">
        <v>2507</v>
      </c>
      <c r="BS240" t="s">
        <v>813</v>
      </c>
      <c r="CB240" t="s">
        <v>3811</v>
      </c>
    </row>
    <row r="241" spans="18:80" x14ac:dyDescent="0.25">
      <c r="R241" t="s">
        <v>2508</v>
      </c>
      <c r="BI241" t="s">
        <v>2509</v>
      </c>
      <c r="BN241" s="10" t="s">
        <v>2510</v>
      </c>
      <c r="BS241" t="s">
        <v>813</v>
      </c>
      <c r="CB241" t="s">
        <v>3812</v>
      </c>
    </row>
    <row r="242" spans="18:80" x14ac:dyDescent="0.25">
      <c r="R242" t="s">
        <v>2511</v>
      </c>
      <c r="BI242" t="s">
        <v>2512</v>
      </c>
      <c r="BN242" s="10" t="s">
        <v>2513</v>
      </c>
      <c r="BS242" t="s">
        <v>813</v>
      </c>
      <c r="CB242" t="s">
        <v>3813</v>
      </c>
    </row>
    <row r="243" spans="18:80" x14ac:dyDescent="0.25">
      <c r="R243" t="s">
        <v>2514</v>
      </c>
      <c r="BI243" t="s">
        <v>2515</v>
      </c>
      <c r="BN243" s="10" t="s">
        <v>2516</v>
      </c>
      <c r="BS243" t="s">
        <v>813</v>
      </c>
      <c r="CB243" t="s">
        <v>3814</v>
      </c>
    </row>
    <row r="244" spans="18:80" x14ac:dyDescent="0.25">
      <c r="R244" t="s">
        <v>2517</v>
      </c>
      <c r="BI244" t="s">
        <v>2518</v>
      </c>
      <c r="BN244" s="10" t="s">
        <v>2519</v>
      </c>
      <c r="BS244" t="s">
        <v>813</v>
      </c>
      <c r="CB244" t="s">
        <v>3815</v>
      </c>
    </row>
    <row r="245" spans="18:80" x14ac:dyDescent="0.25">
      <c r="R245" t="s">
        <v>2520</v>
      </c>
      <c r="BI245" t="s">
        <v>2521</v>
      </c>
      <c r="BN245" s="10" t="s">
        <v>2522</v>
      </c>
      <c r="BS245" t="s">
        <v>813</v>
      </c>
      <c r="CB245" t="s">
        <v>3816</v>
      </c>
    </row>
    <row r="246" spans="18:80" x14ac:dyDescent="0.25">
      <c r="R246" t="s">
        <v>2523</v>
      </c>
      <c r="BI246" t="s">
        <v>2524</v>
      </c>
      <c r="BN246" s="10" t="s">
        <v>2525</v>
      </c>
      <c r="BS246" t="s">
        <v>813</v>
      </c>
      <c r="CB246" t="s">
        <v>3817</v>
      </c>
    </row>
    <row r="247" spans="18:80" x14ac:dyDescent="0.25">
      <c r="R247" t="s">
        <v>2526</v>
      </c>
      <c r="BI247" t="s">
        <v>2527</v>
      </c>
      <c r="BN247" s="10" t="s">
        <v>2528</v>
      </c>
      <c r="BS247" t="s">
        <v>813</v>
      </c>
      <c r="CB247" t="s">
        <v>3818</v>
      </c>
    </row>
    <row r="248" spans="18:80" x14ac:dyDescent="0.25">
      <c r="R248" t="s">
        <v>2529</v>
      </c>
      <c r="BI248" t="s">
        <v>2530</v>
      </c>
      <c r="BN248" s="10" t="s">
        <v>2531</v>
      </c>
      <c r="BS248" t="s">
        <v>813</v>
      </c>
      <c r="CB248" t="s">
        <v>3819</v>
      </c>
    </row>
    <row r="249" spans="18:80" x14ac:dyDescent="0.25">
      <c r="R249" t="s">
        <v>2532</v>
      </c>
      <c r="BI249" t="s">
        <v>2533</v>
      </c>
      <c r="BN249" s="10" t="s">
        <v>2534</v>
      </c>
      <c r="BS249" t="s">
        <v>813</v>
      </c>
      <c r="CB249" t="s">
        <v>3820</v>
      </c>
    </row>
    <row r="250" spans="18:80" x14ac:dyDescent="0.25">
      <c r="R250" t="s">
        <v>2535</v>
      </c>
      <c r="BI250" t="s">
        <v>2536</v>
      </c>
      <c r="BN250" s="10" t="s">
        <v>2537</v>
      </c>
      <c r="BS250" t="s">
        <v>813</v>
      </c>
      <c r="CB250" t="s">
        <v>3821</v>
      </c>
    </row>
    <row r="251" spans="18:80" x14ac:dyDescent="0.25">
      <c r="R251" t="s">
        <v>2538</v>
      </c>
      <c r="BI251" t="s">
        <v>2539</v>
      </c>
      <c r="BN251" s="10" t="s">
        <v>2540</v>
      </c>
      <c r="BS251" t="s">
        <v>813</v>
      </c>
      <c r="CB251" t="s">
        <v>3822</v>
      </c>
    </row>
    <row r="252" spans="18:80" x14ac:dyDescent="0.25">
      <c r="R252" t="s">
        <v>2541</v>
      </c>
      <c r="BI252" t="s">
        <v>2542</v>
      </c>
      <c r="BN252" s="10" t="s">
        <v>2543</v>
      </c>
      <c r="BS252" t="s">
        <v>813</v>
      </c>
      <c r="CB252" t="s">
        <v>3823</v>
      </c>
    </row>
    <row r="253" spans="18:80" x14ac:dyDescent="0.25">
      <c r="R253" t="s">
        <v>2544</v>
      </c>
      <c r="BI253" t="s">
        <v>2545</v>
      </c>
      <c r="BN253" s="10" t="s">
        <v>2546</v>
      </c>
      <c r="BS253" t="s">
        <v>813</v>
      </c>
      <c r="CB253" t="s">
        <v>3824</v>
      </c>
    </row>
    <row r="254" spans="18:80" x14ac:dyDescent="0.25">
      <c r="R254" t="s">
        <v>2547</v>
      </c>
      <c r="BI254" t="s">
        <v>2548</v>
      </c>
      <c r="BN254" s="10" t="s">
        <v>2549</v>
      </c>
      <c r="BS254" t="s">
        <v>813</v>
      </c>
      <c r="CB254" t="s">
        <v>3825</v>
      </c>
    </row>
    <row r="255" spans="18:80" x14ac:dyDescent="0.25">
      <c r="R255" t="s">
        <v>2550</v>
      </c>
      <c r="BI255" t="s">
        <v>2551</v>
      </c>
      <c r="BN255" s="10" t="s">
        <v>2552</v>
      </c>
      <c r="BS255" t="s">
        <v>813</v>
      </c>
      <c r="CB255" t="s">
        <v>3826</v>
      </c>
    </row>
    <row r="256" spans="18:80" x14ac:dyDescent="0.25">
      <c r="R256" t="s">
        <v>2553</v>
      </c>
      <c r="BI256" t="s">
        <v>2554</v>
      </c>
      <c r="BN256" s="10" t="s">
        <v>2555</v>
      </c>
      <c r="BS256" t="s">
        <v>813</v>
      </c>
      <c r="CB256" t="s">
        <v>3827</v>
      </c>
    </row>
    <row r="257" spans="18:80" x14ac:dyDescent="0.25">
      <c r="R257" t="s">
        <v>2556</v>
      </c>
      <c r="BI257" t="s">
        <v>2557</v>
      </c>
      <c r="BN257" s="10" t="s">
        <v>2558</v>
      </c>
      <c r="BS257" t="s">
        <v>813</v>
      </c>
      <c r="CB257" t="s">
        <v>3828</v>
      </c>
    </row>
    <row r="258" spans="18:80" x14ac:dyDescent="0.25">
      <c r="R258" t="s">
        <v>2559</v>
      </c>
      <c r="BI258" t="s">
        <v>2560</v>
      </c>
      <c r="BN258" s="10" t="s">
        <v>2561</v>
      </c>
      <c r="BS258" t="s">
        <v>813</v>
      </c>
    </row>
    <row r="259" spans="18:80" x14ac:dyDescent="0.25">
      <c r="R259" t="s">
        <v>2562</v>
      </c>
      <c r="BI259" t="s">
        <v>2563</v>
      </c>
      <c r="BN259" s="10" t="s">
        <v>2564</v>
      </c>
      <c r="BS259" t="s">
        <v>813</v>
      </c>
    </row>
    <row r="260" spans="18:80" x14ac:dyDescent="0.25">
      <c r="R260" t="s">
        <v>2565</v>
      </c>
      <c r="BI260" t="s">
        <v>2566</v>
      </c>
      <c r="BN260" s="10" t="s">
        <v>2567</v>
      </c>
      <c r="BS260" t="s">
        <v>813</v>
      </c>
    </row>
    <row r="261" spans="18:80" x14ac:dyDescent="0.25">
      <c r="R261" t="s">
        <v>2568</v>
      </c>
      <c r="BI261" t="s">
        <v>2569</v>
      </c>
      <c r="BN261" s="10" t="s">
        <v>2570</v>
      </c>
      <c r="BS261" t="s">
        <v>813</v>
      </c>
    </row>
    <row r="262" spans="18:80" x14ac:dyDescent="0.25">
      <c r="R262" t="s">
        <v>2571</v>
      </c>
      <c r="BI262" t="s">
        <v>2572</v>
      </c>
      <c r="BN262" s="10" t="s">
        <v>2573</v>
      </c>
      <c r="BS262" t="s">
        <v>813</v>
      </c>
    </row>
    <row r="263" spans="18:80" x14ac:dyDescent="0.25">
      <c r="R263" t="s">
        <v>2574</v>
      </c>
      <c r="BI263" t="s">
        <v>2575</v>
      </c>
      <c r="BN263" s="10" t="s">
        <v>2576</v>
      </c>
      <c r="BS263" t="s">
        <v>813</v>
      </c>
    </row>
    <row r="264" spans="18:80" x14ac:dyDescent="0.25">
      <c r="R264" t="s">
        <v>2577</v>
      </c>
      <c r="BI264" t="s">
        <v>2578</v>
      </c>
      <c r="BN264" s="10" t="s">
        <v>2579</v>
      </c>
      <c r="BS264" t="s">
        <v>813</v>
      </c>
    </row>
    <row r="265" spans="18:80" x14ac:dyDescent="0.25">
      <c r="R265" t="s">
        <v>2580</v>
      </c>
      <c r="BI265" t="s">
        <v>2581</v>
      </c>
      <c r="BN265" s="10" t="s">
        <v>2582</v>
      </c>
      <c r="BS265" t="s">
        <v>813</v>
      </c>
    </row>
    <row r="266" spans="18:80" x14ac:dyDescent="0.25">
      <c r="R266" t="s">
        <v>2583</v>
      </c>
      <c r="BI266" t="s">
        <v>2584</v>
      </c>
      <c r="BN266" s="10" t="s">
        <v>2585</v>
      </c>
      <c r="BS266" t="s">
        <v>813</v>
      </c>
    </row>
    <row r="267" spans="18:80" x14ac:dyDescent="0.25">
      <c r="R267" t="s">
        <v>2586</v>
      </c>
      <c r="BI267" t="s">
        <v>2587</v>
      </c>
      <c r="BN267" s="10" t="s">
        <v>2588</v>
      </c>
      <c r="BS267" t="s">
        <v>813</v>
      </c>
    </row>
    <row r="268" spans="18:80" x14ac:dyDescent="0.25">
      <c r="R268" t="s">
        <v>2589</v>
      </c>
      <c r="BI268" t="s">
        <v>2590</v>
      </c>
      <c r="BN268" s="10" t="s">
        <v>2591</v>
      </c>
      <c r="BS268" t="s">
        <v>813</v>
      </c>
    </row>
    <row r="269" spans="18:80" x14ac:dyDescent="0.25">
      <c r="R269" t="s">
        <v>2592</v>
      </c>
      <c r="BI269" t="s">
        <v>2593</v>
      </c>
      <c r="BN269" s="10" t="s">
        <v>2594</v>
      </c>
      <c r="BS269" t="s">
        <v>813</v>
      </c>
    </row>
    <row r="270" spans="18:80" x14ac:dyDescent="0.25">
      <c r="R270" t="s">
        <v>2595</v>
      </c>
      <c r="BI270" t="s">
        <v>2596</v>
      </c>
      <c r="BN270" s="10" t="s">
        <v>2597</v>
      </c>
      <c r="BS270" t="s">
        <v>813</v>
      </c>
    </row>
    <row r="271" spans="18:80" x14ac:dyDescent="0.25">
      <c r="R271" t="s">
        <v>2598</v>
      </c>
      <c r="BI271" t="s">
        <v>2599</v>
      </c>
      <c r="BN271" s="10" t="s">
        <v>2600</v>
      </c>
      <c r="BS271" t="s">
        <v>813</v>
      </c>
    </row>
    <row r="272" spans="18:80" x14ac:dyDescent="0.25">
      <c r="R272" t="s">
        <v>2601</v>
      </c>
      <c r="BI272" t="s">
        <v>2602</v>
      </c>
      <c r="BN272" s="10" t="s">
        <v>2603</v>
      </c>
      <c r="BS272" t="s">
        <v>813</v>
      </c>
    </row>
    <row r="273" spans="18:71" x14ac:dyDescent="0.25">
      <c r="R273" t="s">
        <v>2604</v>
      </c>
      <c r="BI273" t="s">
        <v>2605</v>
      </c>
      <c r="BN273" s="10" t="s">
        <v>2606</v>
      </c>
      <c r="BS273" t="s">
        <v>813</v>
      </c>
    </row>
    <row r="274" spans="18:71" x14ac:dyDescent="0.25">
      <c r="R274" t="s">
        <v>2607</v>
      </c>
      <c r="BI274" t="s">
        <v>2608</v>
      </c>
      <c r="BN274" s="10" t="s">
        <v>2609</v>
      </c>
      <c r="BS274" t="s">
        <v>813</v>
      </c>
    </row>
    <row r="275" spans="18:71" x14ac:dyDescent="0.25">
      <c r="R275" t="s">
        <v>2610</v>
      </c>
      <c r="BI275" t="s">
        <v>2611</v>
      </c>
      <c r="BN275" s="10" t="s">
        <v>2612</v>
      </c>
      <c r="BS275" t="s">
        <v>813</v>
      </c>
    </row>
    <row r="276" spans="18:71" x14ac:dyDescent="0.25">
      <c r="R276" t="s">
        <v>2613</v>
      </c>
      <c r="BI276" t="s">
        <v>2614</v>
      </c>
      <c r="BN276" s="10" t="s">
        <v>2615</v>
      </c>
      <c r="BS276" t="s">
        <v>813</v>
      </c>
    </row>
    <row r="277" spans="18:71" x14ac:dyDescent="0.25">
      <c r="R277" t="s">
        <v>2616</v>
      </c>
      <c r="BI277" t="s">
        <v>2617</v>
      </c>
      <c r="BN277" s="10" t="s">
        <v>2618</v>
      </c>
      <c r="BS277" t="s">
        <v>813</v>
      </c>
    </row>
    <row r="278" spans="18:71" x14ac:dyDescent="0.25">
      <c r="R278" t="s">
        <v>2619</v>
      </c>
      <c r="BI278" t="s">
        <v>2620</v>
      </c>
      <c r="BN278" s="10" t="s">
        <v>2621</v>
      </c>
      <c r="BS278" t="s">
        <v>813</v>
      </c>
    </row>
    <row r="279" spans="18:71" x14ac:dyDescent="0.25">
      <c r="R279" t="s">
        <v>2622</v>
      </c>
      <c r="BI279" t="s">
        <v>2623</v>
      </c>
      <c r="BN279" s="10" t="s">
        <v>2624</v>
      </c>
      <c r="BS279" t="s">
        <v>813</v>
      </c>
    </row>
    <row r="280" spans="18:71" x14ac:dyDescent="0.25">
      <c r="R280" t="s">
        <v>2625</v>
      </c>
      <c r="BI280" t="s">
        <v>2626</v>
      </c>
      <c r="BN280" s="10" t="s">
        <v>2627</v>
      </c>
      <c r="BS280" t="s">
        <v>813</v>
      </c>
    </row>
    <row r="281" spans="18:71" x14ac:dyDescent="0.25">
      <c r="R281" t="s">
        <v>2628</v>
      </c>
      <c r="BI281" t="s">
        <v>2629</v>
      </c>
      <c r="BN281" s="10" t="s">
        <v>2630</v>
      </c>
      <c r="BS281" t="s">
        <v>813</v>
      </c>
    </row>
    <row r="282" spans="18:71" x14ac:dyDescent="0.25">
      <c r="R282" t="s">
        <v>2631</v>
      </c>
      <c r="BI282" t="s">
        <v>2632</v>
      </c>
      <c r="BN282" s="10" t="s">
        <v>2633</v>
      </c>
      <c r="BS282" t="s">
        <v>813</v>
      </c>
    </row>
    <row r="283" spans="18:71" x14ac:dyDescent="0.25">
      <c r="R283" t="s">
        <v>2634</v>
      </c>
      <c r="BI283" t="s">
        <v>2635</v>
      </c>
      <c r="BN283" s="10" t="s">
        <v>2636</v>
      </c>
      <c r="BS283" t="s">
        <v>813</v>
      </c>
    </row>
    <row r="284" spans="18:71" x14ac:dyDescent="0.25">
      <c r="R284" t="s">
        <v>2637</v>
      </c>
      <c r="BI284" t="s">
        <v>2638</v>
      </c>
      <c r="BN284" s="10" t="s">
        <v>2639</v>
      </c>
      <c r="BS284" t="s">
        <v>813</v>
      </c>
    </row>
    <row r="285" spans="18:71" x14ac:dyDescent="0.25">
      <c r="R285" t="s">
        <v>2640</v>
      </c>
      <c r="BI285" t="s">
        <v>2641</v>
      </c>
      <c r="BN285" s="10" t="s">
        <v>2642</v>
      </c>
      <c r="BS285" t="s">
        <v>813</v>
      </c>
    </row>
    <row r="286" spans="18:71" x14ac:dyDescent="0.25">
      <c r="R286" t="s">
        <v>2643</v>
      </c>
      <c r="BI286" t="s">
        <v>2644</v>
      </c>
      <c r="BN286" s="10" t="s">
        <v>2645</v>
      </c>
      <c r="BS286" t="s">
        <v>813</v>
      </c>
    </row>
    <row r="287" spans="18:71" x14ac:dyDescent="0.25">
      <c r="R287" t="s">
        <v>2646</v>
      </c>
      <c r="BI287" t="s">
        <v>2647</v>
      </c>
      <c r="BN287" s="10" t="s">
        <v>2648</v>
      </c>
      <c r="BS287" t="s">
        <v>813</v>
      </c>
    </row>
    <row r="288" spans="18:71" x14ac:dyDescent="0.25">
      <c r="R288" t="s">
        <v>2649</v>
      </c>
      <c r="BI288" t="s">
        <v>2650</v>
      </c>
      <c r="BN288" s="10" t="s">
        <v>2651</v>
      </c>
      <c r="BS288" t="s">
        <v>813</v>
      </c>
    </row>
    <row r="289" spans="18:71" x14ac:dyDescent="0.25">
      <c r="R289" t="s">
        <v>2652</v>
      </c>
      <c r="BI289" t="s">
        <v>2653</v>
      </c>
      <c r="BN289" s="10" t="s">
        <v>2654</v>
      </c>
      <c r="BS289" t="s">
        <v>813</v>
      </c>
    </row>
    <row r="290" spans="18:71" x14ac:dyDescent="0.25">
      <c r="R290" t="s">
        <v>2655</v>
      </c>
      <c r="BI290" t="s">
        <v>2656</v>
      </c>
      <c r="BN290" s="10" t="s">
        <v>2657</v>
      </c>
      <c r="BS290" t="s">
        <v>813</v>
      </c>
    </row>
    <row r="291" spans="18:71" x14ac:dyDescent="0.25">
      <c r="R291" t="s">
        <v>2658</v>
      </c>
      <c r="BI291" t="s">
        <v>2659</v>
      </c>
      <c r="BN291" s="10" t="s">
        <v>2660</v>
      </c>
      <c r="BS291" t="s">
        <v>813</v>
      </c>
    </row>
    <row r="292" spans="18:71" x14ac:dyDescent="0.25">
      <c r="R292" t="s">
        <v>2661</v>
      </c>
      <c r="BI292" t="s">
        <v>2662</v>
      </c>
      <c r="BN292" s="10" t="s">
        <v>2663</v>
      </c>
      <c r="BS292" t="s">
        <v>813</v>
      </c>
    </row>
    <row r="293" spans="18:71" x14ac:dyDescent="0.25">
      <c r="R293" t="s">
        <v>2664</v>
      </c>
      <c r="BI293" t="s">
        <v>2665</v>
      </c>
      <c r="BN293" s="10" t="s">
        <v>2666</v>
      </c>
      <c r="BS293" t="s">
        <v>813</v>
      </c>
    </row>
    <row r="294" spans="18:71" x14ac:dyDescent="0.25">
      <c r="R294" t="s">
        <v>2667</v>
      </c>
      <c r="BI294" t="s">
        <v>2668</v>
      </c>
      <c r="BN294" s="10" t="s">
        <v>2669</v>
      </c>
      <c r="BS294" t="s">
        <v>813</v>
      </c>
    </row>
    <row r="295" spans="18:71" x14ac:dyDescent="0.25">
      <c r="R295" t="s">
        <v>2670</v>
      </c>
      <c r="BI295" t="s">
        <v>2671</v>
      </c>
      <c r="BN295" s="10" t="s">
        <v>2672</v>
      </c>
      <c r="BS295" t="s">
        <v>813</v>
      </c>
    </row>
    <row r="296" spans="18:71" x14ac:dyDescent="0.25">
      <c r="R296" t="s">
        <v>2673</v>
      </c>
      <c r="BI296" t="s">
        <v>2674</v>
      </c>
      <c r="BN296" s="10" t="s">
        <v>2675</v>
      </c>
      <c r="BS296" t="s">
        <v>813</v>
      </c>
    </row>
    <row r="297" spans="18:71" x14ac:dyDescent="0.25">
      <c r="R297" t="s">
        <v>2676</v>
      </c>
      <c r="BI297" t="s">
        <v>2677</v>
      </c>
      <c r="BN297" s="10" t="s">
        <v>2678</v>
      </c>
      <c r="BS297" t="s">
        <v>813</v>
      </c>
    </row>
    <row r="298" spans="18:71" x14ac:dyDescent="0.25">
      <c r="R298" t="s">
        <v>2679</v>
      </c>
      <c r="BI298" t="s">
        <v>2680</v>
      </c>
      <c r="BN298" s="10" t="s">
        <v>2681</v>
      </c>
      <c r="BS298" t="s">
        <v>813</v>
      </c>
    </row>
    <row r="299" spans="18:71" x14ac:dyDescent="0.25">
      <c r="R299" t="s">
        <v>2682</v>
      </c>
      <c r="BI299" t="s">
        <v>2683</v>
      </c>
      <c r="BN299" s="10" t="s">
        <v>2684</v>
      </c>
      <c r="BS299" t="s">
        <v>813</v>
      </c>
    </row>
    <row r="300" spans="18:71" x14ac:dyDescent="0.25">
      <c r="R300" t="s">
        <v>2685</v>
      </c>
      <c r="BI300" t="s">
        <v>2686</v>
      </c>
      <c r="BN300" s="10" t="s">
        <v>2687</v>
      </c>
      <c r="BS300" t="s">
        <v>813</v>
      </c>
    </row>
    <row r="301" spans="18:71" x14ac:dyDescent="0.25">
      <c r="R301" t="s">
        <v>2688</v>
      </c>
      <c r="BI301" t="s">
        <v>2689</v>
      </c>
      <c r="BN301" s="10" t="s">
        <v>2690</v>
      </c>
      <c r="BS301" t="s">
        <v>813</v>
      </c>
    </row>
    <row r="302" spans="18:71" x14ac:dyDescent="0.25">
      <c r="R302" t="s">
        <v>2691</v>
      </c>
      <c r="BI302" t="s">
        <v>2692</v>
      </c>
      <c r="BN302" s="10" t="s">
        <v>2693</v>
      </c>
      <c r="BS302" t="s">
        <v>813</v>
      </c>
    </row>
    <row r="303" spans="18:71" x14ac:dyDescent="0.25">
      <c r="R303" t="s">
        <v>2694</v>
      </c>
      <c r="BI303" t="s">
        <v>2695</v>
      </c>
      <c r="BN303" s="10" t="s">
        <v>2696</v>
      </c>
      <c r="BS303" t="s">
        <v>813</v>
      </c>
    </row>
    <row r="304" spans="18:71" x14ac:dyDescent="0.25">
      <c r="R304" t="s">
        <v>2697</v>
      </c>
      <c r="BI304" t="s">
        <v>2698</v>
      </c>
      <c r="BN304" s="10" t="s">
        <v>2699</v>
      </c>
      <c r="BS304" t="s">
        <v>813</v>
      </c>
    </row>
    <row r="305" spans="18:71" x14ac:dyDescent="0.25">
      <c r="R305" t="s">
        <v>2700</v>
      </c>
      <c r="BI305" t="s">
        <v>2701</v>
      </c>
      <c r="BN305" s="10" t="s">
        <v>2702</v>
      </c>
      <c r="BS305" t="s">
        <v>813</v>
      </c>
    </row>
    <row r="306" spans="18:71" x14ac:dyDescent="0.25">
      <c r="R306" t="s">
        <v>2703</v>
      </c>
      <c r="BI306" t="s">
        <v>2704</v>
      </c>
      <c r="BN306" s="10" t="s">
        <v>2705</v>
      </c>
      <c r="BS306" t="s">
        <v>813</v>
      </c>
    </row>
    <row r="307" spans="18:71" x14ac:dyDescent="0.25">
      <c r="R307" t="s">
        <v>2706</v>
      </c>
      <c r="BI307" t="s">
        <v>2707</v>
      </c>
      <c r="BN307" s="10" t="s">
        <v>2708</v>
      </c>
      <c r="BS307" t="s">
        <v>813</v>
      </c>
    </row>
    <row r="308" spans="18:71" x14ac:dyDescent="0.25">
      <c r="R308" t="s">
        <v>2709</v>
      </c>
      <c r="BI308" t="s">
        <v>2710</v>
      </c>
      <c r="BN308" s="10" t="s">
        <v>2711</v>
      </c>
      <c r="BS308" t="s">
        <v>813</v>
      </c>
    </row>
    <row r="309" spans="18:71" x14ac:dyDescent="0.25">
      <c r="R309" t="s">
        <v>2712</v>
      </c>
      <c r="BI309" t="s">
        <v>2713</v>
      </c>
      <c r="BN309" s="10" t="s">
        <v>2714</v>
      </c>
      <c r="BS309" t="s">
        <v>813</v>
      </c>
    </row>
    <row r="310" spans="18:71" x14ac:dyDescent="0.25">
      <c r="R310" t="s">
        <v>2715</v>
      </c>
      <c r="BI310" t="s">
        <v>2716</v>
      </c>
      <c r="BN310" s="10" t="s">
        <v>2717</v>
      </c>
      <c r="BS310" t="s">
        <v>813</v>
      </c>
    </row>
    <row r="311" spans="18:71" x14ac:dyDescent="0.25">
      <c r="R311" t="s">
        <v>2718</v>
      </c>
      <c r="BI311" t="s">
        <v>2719</v>
      </c>
      <c r="BN311" s="10" t="s">
        <v>2720</v>
      </c>
      <c r="BS311" t="s">
        <v>813</v>
      </c>
    </row>
    <row r="312" spans="18:71" x14ac:dyDescent="0.25">
      <c r="R312" t="s">
        <v>2721</v>
      </c>
      <c r="BI312" t="s">
        <v>2722</v>
      </c>
      <c r="BN312" s="10" t="s">
        <v>2723</v>
      </c>
      <c r="BS312" t="s">
        <v>813</v>
      </c>
    </row>
    <row r="313" spans="18:71" x14ac:dyDescent="0.25">
      <c r="R313" t="s">
        <v>2724</v>
      </c>
      <c r="BI313" t="s">
        <v>2725</v>
      </c>
      <c r="BN313" s="10" t="s">
        <v>2726</v>
      </c>
      <c r="BS313" t="s">
        <v>813</v>
      </c>
    </row>
    <row r="314" spans="18:71" x14ac:dyDescent="0.25">
      <c r="R314" t="s">
        <v>2727</v>
      </c>
      <c r="BI314" t="s">
        <v>2728</v>
      </c>
      <c r="BN314" s="10" t="s">
        <v>2729</v>
      </c>
      <c r="BS314" t="s">
        <v>813</v>
      </c>
    </row>
    <row r="315" spans="18:71" x14ac:dyDescent="0.25">
      <c r="R315" t="s">
        <v>2730</v>
      </c>
      <c r="BI315" t="s">
        <v>2731</v>
      </c>
      <c r="BN315" s="10" t="s">
        <v>2732</v>
      </c>
      <c r="BS315" t="s">
        <v>813</v>
      </c>
    </row>
    <row r="316" spans="18:71" x14ac:dyDescent="0.25">
      <c r="R316" t="s">
        <v>2733</v>
      </c>
      <c r="BI316" t="s">
        <v>2734</v>
      </c>
      <c r="BN316" s="10" t="s">
        <v>2735</v>
      </c>
      <c r="BS316" t="s">
        <v>813</v>
      </c>
    </row>
    <row r="317" spans="18:71" x14ac:dyDescent="0.25">
      <c r="R317" t="s">
        <v>2736</v>
      </c>
      <c r="BI317" t="s">
        <v>2737</v>
      </c>
      <c r="BN317" s="10" t="s">
        <v>2738</v>
      </c>
      <c r="BS317" t="s">
        <v>813</v>
      </c>
    </row>
    <row r="318" spans="18:71" x14ac:dyDescent="0.25">
      <c r="R318" t="s">
        <v>2739</v>
      </c>
      <c r="BI318" t="s">
        <v>2740</v>
      </c>
      <c r="BN318" s="10" t="s">
        <v>2741</v>
      </c>
      <c r="BS318" t="s">
        <v>813</v>
      </c>
    </row>
    <row r="319" spans="18:71" x14ac:dyDescent="0.25">
      <c r="R319" t="s">
        <v>2742</v>
      </c>
      <c r="BI319" t="s">
        <v>2743</v>
      </c>
      <c r="BN319" s="10" t="s">
        <v>2744</v>
      </c>
      <c r="BS319" t="s">
        <v>813</v>
      </c>
    </row>
    <row r="320" spans="18:71" x14ac:dyDescent="0.25">
      <c r="R320" t="s">
        <v>2745</v>
      </c>
      <c r="BI320" t="s">
        <v>2746</v>
      </c>
      <c r="BN320" s="10" t="s">
        <v>2747</v>
      </c>
      <c r="BS320" t="s">
        <v>813</v>
      </c>
    </row>
    <row r="321" spans="18:71" x14ac:dyDescent="0.25">
      <c r="R321" t="s">
        <v>2748</v>
      </c>
      <c r="BI321" t="s">
        <v>2749</v>
      </c>
      <c r="BN321" s="10" t="s">
        <v>2750</v>
      </c>
      <c r="BS321" t="s">
        <v>813</v>
      </c>
    </row>
    <row r="322" spans="18:71" x14ac:dyDescent="0.25">
      <c r="R322" t="s">
        <v>2751</v>
      </c>
      <c r="BI322" t="s">
        <v>2752</v>
      </c>
      <c r="BN322" s="10" t="s">
        <v>2753</v>
      </c>
      <c r="BS322" t="s">
        <v>813</v>
      </c>
    </row>
    <row r="323" spans="18:71" x14ac:dyDescent="0.25">
      <c r="R323" t="s">
        <v>2754</v>
      </c>
      <c r="BI323" t="s">
        <v>2755</v>
      </c>
      <c r="BN323" s="10" t="s">
        <v>2756</v>
      </c>
      <c r="BS323" t="s">
        <v>813</v>
      </c>
    </row>
    <row r="324" spans="18:71" x14ac:dyDescent="0.25">
      <c r="R324" t="s">
        <v>2757</v>
      </c>
      <c r="BI324" t="s">
        <v>2758</v>
      </c>
      <c r="BN324" s="10" t="s">
        <v>2759</v>
      </c>
      <c r="BS324" t="s">
        <v>813</v>
      </c>
    </row>
    <row r="325" spans="18:71" x14ac:dyDescent="0.25">
      <c r="R325" t="s">
        <v>2760</v>
      </c>
      <c r="BI325" t="s">
        <v>2761</v>
      </c>
      <c r="BN325" s="10" t="s">
        <v>2762</v>
      </c>
      <c r="BS325" t="s">
        <v>813</v>
      </c>
    </row>
    <row r="326" spans="18:71" x14ac:dyDescent="0.25">
      <c r="R326" t="s">
        <v>2763</v>
      </c>
      <c r="BI326" t="s">
        <v>2764</v>
      </c>
      <c r="BN326" s="10" t="s">
        <v>2765</v>
      </c>
      <c r="BS326" t="s">
        <v>813</v>
      </c>
    </row>
    <row r="327" spans="18:71" x14ac:dyDescent="0.25">
      <c r="R327" t="s">
        <v>2766</v>
      </c>
      <c r="BI327" t="s">
        <v>2767</v>
      </c>
      <c r="BN327" s="10" t="s">
        <v>2768</v>
      </c>
      <c r="BS327" t="s">
        <v>813</v>
      </c>
    </row>
    <row r="328" spans="18:71" x14ac:dyDescent="0.25">
      <c r="R328" t="s">
        <v>2769</v>
      </c>
      <c r="BI328" t="s">
        <v>2770</v>
      </c>
      <c r="BN328" s="10" t="s">
        <v>2771</v>
      </c>
      <c r="BS328" t="s">
        <v>813</v>
      </c>
    </row>
    <row r="329" spans="18:71" x14ac:dyDescent="0.25">
      <c r="R329" t="s">
        <v>2772</v>
      </c>
      <c r="BI329" t="s">
        <v>2773</v>
      </c>
      <c r="BN329" s="10" t="s">
        <v>2774</v>
      </c>
      <c r="BS329" t="s">
        <v>813</v>
      </c>
    </row>
    <row r="330" spans="18:71" x14ac:dyDescent="0.25">
      <c r="R330" t="s">
        <v>2775</v>
      </c>
      <c r="BI330" t="s">
        <v>2776</v>
      </c>
      <c r="BN330" s="10" t="s">
        <v>2777</v>
      </c>
      <c r="BS330" t="s">
        <v>813</v>
      </c>
    </row>
    <row r="331" spans="18:71" x14ac:dyDescent="0.25">
      <c r="R331" t="s">
        <v>2778</v>
      </c>
      <c r="BI331" t="s">
        <v>2779</v>
      </c>
      <c r="BN331" s="10" t="s">
        <v>2780</v>
      </c>
      <c r="BS331" t="s">
        <v>813</v>
      </c>
    </row>
    <row r="332" spans="18:71" x14ac:dyDescent="0.25">
      <c r="R332" t="s">
        <v>2781</v>
      </c>
      <c r="BI332" t="s">
        <v>2782</v>
      </c>
      <c r="BN332" s="10" t="s">
        <v>2783</v>
      </c>
      <c r="BS332" t="s">
        <v>813</v>
      </c>
    </row>
    <row r="333" spans="18:71" x14ac:dyDescent="0.25">
      <c r="R333" t="s">
        <v>2784</v>
      </c>
      <c r="BI333" t="s">
        <v>2785</v>
      </c>
      <c r="BN333" s="10" t="s">
        <v>2786</v>
      </c>
      <c r="BS333" t="s">
        <v>813</v>
      </c>
    </row>
    <row r="334" spans="18:71" x14ac:dyDescent="0.25">
      <c r="R334" t="s">
        <v>2787</v>
      </c>
      <c r="BI334" t="s">
        <v>2788</v>
      </c>
      <c r="BN334" s="10" t="s">
        <v>2789</v>
      </c>
      <c r="BS334" t="s">
        <v>813</v>
      </c>
    </row>
    <row r="335" spans="18:71" x14ac:dyDescent="0.25">
      <c r="R335" t="s">
        <v>2790</v>
      </c>
      <c r="BI335" t="s">
        <v>2791</v>
      </c>
      <c r="BN335" s="10" t="s">
        <v>2792</v>
      </c>
      <c r="BS335" t="s">
        <v>813</v>
      </c>
    </row>
    <row r="336" spans="18:71" x14ac:dyDescent="0.25">
      <c r="R336" t="s">
        <v>2793</v>
      </c>
      <c r="BI336" t="s">
        <v>2794</v>
      </c>
      <c r="BN336" s="10" t="s">
        <v>2795</v>
      </c>
      <c r="BS336" t="s">
        <v>813</v>
      </c>
    </row>
    <row r="337" spans="18:71" x14ac:dyDescent="0.25">
      <c r="R337" t="s">
        <v>2796</v>
      </c>
      <c r="BI337" t="s">
        <v>2797</v>
      </c>
      <c r="BN337" s="10" t="s">
        <v>2798</v>
      </c>
      <c r="BS337" t="s">
        <v>813</v>
      </c>
    </row>
    <row r="338" spans="18:71" x14ac:dyDescent="0.25">
      <c r="R338" t="s">
        <v>2799</v>
      </c>
      <c r="BI338" t="s">
        <v>2800</v>
      </c>
      <c r="BN338" s="10" t="s">
        <v>2801</v>
      </c>
      <c r="BS338" t="s">
        <v>813</v>
      </c>
    </row>
    <row r="339" spans="18:71" x14ac:dyDescent="0.25">
      <c r="R339" t="s">
        <v>2802</v>
      </c>
      <c r="BI339" t="s">
        <v>2803</v>
      </c>
      <c r="BN339" s="10" t="s">
        <v>2804</v>
      </c>
      <c r="BS339" t="s">
        <v>813</v>
      </c>
    </row>
    <row r="340" spans="18:71" x14ac:dyDescent="0.25">
      <c r="R340" t="s">
        <v>2805</v>
      </c>
      <c r="BI340" t="s">
        <v>2806</v>
      </c>
      <c r="BN340" s="10" t="s">
        <v>2807</v>
      </c>
      <c r="BS340" t="s">
        <v>813</v>
      </c>
    </row>
    <row r="341" spans="18:71" x14ac:dyDescent="0.25">
      <c r="R341" t="s">
        <v>2808</v>
      </c>
      <c r="BI341" t="s">
        <v>2809</v>
      </c>
      <c r="BN341" s="10" t="s">
        <v>2810</v>
      </c>
      <c r="BS341" t="s">
        <v>813</v>
      </c>
    </row>
    <row r="342" spans="18:71" x14ac:dyDescent="0.25">
      <c r="R342" t="s">
        <v>2811</v>
      </c>
      <c r="BI342" t="s">
        <v>2812</v>
      </c>
      <c r="BN342" s="10" t="s">
        <v>2813</v>
      </c>
      <c r="BS342" t="s">
        <v>813</v>
      </c>
    </row>
    <row r="343" spans="18:71" x14ac:dyDescent="0.25">
      <c r="R343" t="s">
        <v>2814</v>
      </c>
      <c r="BI343" t="s">
        <v>2815</v>
      </c>
      <c r="BN343" s="10" t="s">
        <v>2816</v>
      </c>
      <c r="BS343" t="s">
        <v>813</v>
      </c>
    </row>
    <row r="344" spans="18:71" x14ac:dyDescent="0.25">
      <c r="R344" t="s">
        <v>2817</v>
      </c>
      <c r="BI344" t="s">
        <v>2818</v>
      </c>
      <c r="BN344" s="10" t="s">
        <v>2819</v>
      </c>
      <c r="BS344" t="s">
        <v>813</v>
      </c>
    </row>
    <row r="345" spans="18:71" x14ac:dyDescent="0.25">
      <c r="R345" t="s">
        <v>2820</v>
      </c>
      <c r="BI345" t="s">
        <v>2821</v>
      </c>
      <c r="BN345" s="10" t="s">
        <v>2822</v>
      </c>
      <c r="BS345" t="s">
        <v>813</v>
      </c>
    </row>
    <row r="346" spans="18:71" x14ac:dyDescent="0.25">
      <c r="R346" t="s">
        <v>2823</v>
      </c>
      <c r="BI346" t="s">
        <v>2824</v>
      </c>
      <c r="BN346" s="10" t="s">
        <v>2825</v>
      </c>
      <c r="BS346" t="s">
        <v>813</v>
      </c>
    </row>
    <row r="347" spans="18:71" x14ac:dyDescent="0.25">
      <c r="R347" t="s">
        <v>2826</v>
      </c>
      <c r="BI347" t="s">
        <v>2827</v>
      </c>
      <c r="BN347" s="10" t="s">
        <v>2828</v>
      </c>
      <c r="BS347" t="s">
        <v>813</v>
      </c>
    </row>
    <row r="348" spans="18:71" x14ac:dyDescent="0.25">
      <c r="R348" t="s">
        <v>2829</v>
      </c>
      <c r="BI348" t="s">
        <v>2830</v>
      </c>
      <c r="BN348" s="10" t="s">
        <v>2831</v>
      </c>
      <c r="BS348" t="s">
        <v>813</v>
      </c>
    </row>
    <row r="349" spans="18:71" x14ac:dyDescent="0.25">
      <c r="R349" t="s">
        <v>2832</v>
      </c>
      <c r="BI349" t="s">
        <v>2833</v>
      </c>
      <c r="BN349" s="10" t="s">
        <v>2834</v>
      </c>
      <c r="BS349" t="s">
        <v>813</v>
      </c>
    </row>
    <row r="350" spans="18:71" x14ac:dyDescent="0.25">
      <c r="R350" t="s">
        <v>2835</v>
      </c>
      <c r="BI350" t="s">
        <v>2836</v>
      </c>
      <c r="BN350" s="10" t="s">
        <v>2837</v>
      </c>
      <c r="BS350" t="s">
        <v>813</v>
      </c>
    </row>
    <row r="351" spans="18:71" x14ac:dyDescent="0.25">
      <c r="R351" t="s">
        <v>2838</v>
      </c>
      <c r="BI351" t="s">
        <v>2839</v>
      </c>
      <c r="BN351" s="10" t="s">
        <v>2840</v>
      </c>
      <c r="BS351" t="s">
        <v>813</v>
      </c>
    </row>
    <row r="352" spans="18:71" x14ac:dyDescent="0.25">
      <c r="R352" t="s">
        <v>2841</v>
      </c>
      <c r="BI352" t="s">
        <v>2842</v>
      </c>
      <c r="BN352" s="10" t="s">
        <v>2843</v>
      </c>
      <c r="BS352" t="s">
        <v>813</v>
      </c>
    </row>
    <row r="353" spans="18:71" x14ac:dyDescent="0.25">
      <c r="R353" t="s">
        <v>2844</v>
      </c>
      <c r="BI353" t="s">
        <v>2845</v>
      </c>
      <c r="BN353" s="10" t="s">
        <v>2846</v>
      </c>
      <c r="BS353" t="s">
        <v>813</v>
      </c>
    </row>
    <row r="354" spans="18:71" x14ac:dyDescent="0.25">
      <c r="R354" t="s">
        <v>2847</v>
      </c>
      <c r="BI354" t="s">
        <v>2848</v>
      </c>
      <c r="BN354" s="10" t="s">
        <v>2849</v>
      </c>
      <c r="BS354" t="s">
        <v>813</v>
      </c>
    </row>
    <row r="355" spans="18:71" x14ac:dyDescent="0.25">
      <c r="R355" t="s">
        <v>2850</v>
      </c>
      <c r="BI355" t="s">
        <v>2851</v>
      </c>
      <c r="BN355" s="10" t="s">
        <v>2852</v>
      </c>
      <c r="BS355" t="s">
        <v>813</v>
      </c>
    </row>
    <row r="356" spans="18:71" x14ac:dyDescent="0.25">
      <c r="R356" t="s">
        <v>2853</v>
      </c>
      <c r="BI356" t="s">
        <v>2854</v>
      </c>
      <c r="BN356" s="10" t="s">
        <v>2855</v>
      </c>
      <c r="BS356" t="s">
        <v>813</v>
      </c>
    </row>
    <row r="357" spans="18:71" x14ac:dyDescent="0.25">
      <c r="R357" t="s">
        <v>2856</v>
      </c>
      <c r="BI357" t="s">
        <v>2857</v>
      </c>
      <c r="BN357" s="10" t="s">
        <v>2858</v>
      </c>
      <c r="BS357" t="s">
        <v>813</v>
      </c>
    </row>
    <row r="358" spans="18:71" x14ac:dyDescent="0.25">
      <c r="R358" t="s">
        <v>2859</v>
      </c>
      <c r="BI358" t="s">
        <v>2860</v>
      </c>
      <c r="BN358" s="10" t="s">
        <v>2861</v>
      </c>
      <c r="BS358" t="s">
        <v>813</v>
      </c>
    </row>
    <row r="359" spans="18:71" x14ac:dyDescent="0.25">
      <c r="R359" t="s">
        <v>2862</v>
      </c>
      <c r="BI359" t="s">
        <v>2863</v>
      </c>
      <c r="BN359" s="10" t="s">
        <v>2864</v>
      </c>
      <c r="BS359" t="s">
        <v>813</v>
      </c>
    </row>
    <row r="360" spans="18:71" x14ac:dyDescent="0.25">
      <c r="R360" t="s">
        <v>2865</v>
      </c>
      <c r="BI360" t="s">
        <v>2866</v>
      </c>
      <c r="BN360" s="10" t="s">
        <v>2867</v>
      </c>
      <c r="BS360" t="s">
        <v>813</v>
      </c>
    </row>
    <row r="361" spans="18:71" x14ac:dyDescent="0.25">
      <c r="R361" t="s">
        <v>2868</v>
      </c>
      <c r="BI361" t="s">
        <v>2869</v>
      </c>
      <c r="BN361" s="10" t="s">
        <v>2870</v>
      </c>
      <c r="BS361" t="s">
        <v>813</v>
      </c>
    </row>
    <row r="362" spans="18:71" x14ac:dyDescent="0.25">
      <c r="R362" t="s">
        <v>2871</v>
      </c>
      <c r="BI362" t="s">
        <v>2872</v>
      </c>
      <c r="BN362" s="10" t="s">
        <v>2873</v>
      </c>
      <c r="BS362" t="s">
        <v>813</v>
      </c>
    </row>
    <row r="363" spans="18:71" x14ac:dyDescent="0.25">
      <c r="R363" t="s">
        <v>2874</v>
      </c>
      <c r="BI363" t="s">
        <v>2875</v>
      </c>
      <c r="BN363" s="10" t="s">
        <v>2876</v>
      </c>
      <c r="BS363" t="s">
        <v>813</v>
      </c>
    </row>
    <row r="364" spans="18:71" x14ac:dyDescent="0.25">
      <c r="R364" t="s">
        <v>2877</v>
      </c>
      <c r="BI364" t="s">
        <v>2878</v>
      </c>
      <c r="BN364" s="10" t="s">
        <v>2879</v>
      </c>
      <c r="BS364" t="s">
        <v>813</v>
      </c>
    </row>
    <row r="365" spans="18:71" x14ac:dyDescent="0.25">
      <c r="R365" t="s">
        <v>2880</v>
      </c>
      <c r="BI365" t="s">
        <v>2881</v>
      </c>
      <c r="BN365" s="10" t="s">
        <v>2882</v>
      </c>
      <c r="BS365" t="s">
        <v>813</v>
      </c>
    </row>
    <row r="366" spans="18:71" x14ac:dyDescent="0.25">
      <c r="R366" t="s">
        <v>2883</v>
      </c>
      <c r="BI366" t="s">
        <v>2884</v>
      </c>
      <c r="BN366" s="10" t="s">
        <v>2885</v>
      </c>
      <c r="BS366" t="s">
        <v>813</v>
      </c>
    </row>
    <row r="367" spans="18:71" x14ac:dyDescent="0.25">
      <c r="R367" t="s">
        <v>2886</v>
      </c>
      <c r="BI367" t="s">
        <v>2887</v>
      </c>
      <c r="BN367" s="10" t="s">
        <v>2888</v>
      </c>
      <c r="BS367" t="s">
        <v>813</v>
      </c>
    </row>
    <row r="368" spans="18:71" x14ac:dyDescent="0.25">
      <c r="R368" t="s">
        <v>2889</v>
      </c>
      <c r="BI368" t="s">
        <v>2890</v>
      </c>
      <c r="BN368" s="10" t="s">
        <v>2891</v>
      </c>
      <c r="BS368" t="s">
        <v>813</v>
      </c>
    </row>
    <row r="369" spans="18:71" x14ac:dyDescent="0.25">
      <c r="R369" t="s">
        <v>2892</v>
      </c>
      <c r="BI369" t="s">
        <v>2893</v>
      </c>
      <c r="BN369" s="10" t="s">
        <v>2894</v>
      </c>
      <c r="BS369" t="s">
        <v>813</v>
      </c>
    </row>
    <row r="370" spans="18:71" x14ac:dyDescent="0.25">
      <c r="R370" t="s">
        <v>2895</v>
      </c>
      <c r="BI370" t="s">
        <v>2896</v>
      </c>
      <c r="BN370" s="10" t="s">
        <v>2897</v>
      </c>
      <c r="BS370" t="s">
        <v>813</v>
      </c>
    </row>
    <row r="371" spans="18:71" x14ac:dyDescent="0.25">
      <c r="R371" t="s">
        <v>2898</v>
      </c>
      <c r="BI371" t="s">
        <v>2899</v>
      </c>
      <c r="BN371" s="10" t="s">
        <v>2900</v>
      </c>
      <c r="BS371" t="s">
        <v>813</v>
      </c>
    </row>
    <row r="372" spans="18:71" x14ac:dyDescent="0.25">
      <c r="R372" t="s">
        <v>2901</v>
      </c>
      <c r="BI372" t="s">
        <v>2902</v>
      </c>
      <c r="BN372" s="10" t="s">
        <v>2903</v>
      </c>
      <c r="BS372" t="s">
        <v>813</v>
      </c>
    </row>
    <row r="373" spans="18:71" x14ac:dyDescent="0.25">
      <c r="R373" t="s">
        <v>2904</v>
      </c>
      <c r="BI373" t="s">
        <v>2905</v>
      </c>
      <c r="BN373" s="10" t="s">
        <v>2906</v>
      </c>
      <c r="BS373" t="s">
        <v>813</v>
      </c>
    </row>
    <row r="374" spans="18:71" x14ac:dyDescent="0.25">
      <c r="R374" t="s">
        <v>2907</v>
      </c>
      <c r="BI374" t="s">
        <v>2908</v>
      </c>
      <c r="BN374" s="10" t="s">
        <v>2909</v>
      </c>
      <c r="BS374" t="s">
        <v>813</v>
      </c>
    </row>
    <row r="375" spans="18:71" x14ac:dyDescent="0.25">
      <c r="R375" t="s">
        <v>2910</v>
      </c>
      <c r="BI375" t="s">
        <v>2911</v>
      </c>
      <c r="BN375" s="10" t="s">
        <v>2912</v>
      </c>
      <c r="BS375" t="s">
        <v>813</v>
      </c>
    </row>
    <row r="376" spans="18:71" x14ac:dyDescent="0.25">
      <c r="R376" t="s">
        <v>2913</v>
      </c>
      <c r="BI376" t="s">
        <v>2914</v>
      </c>
      <c r="BN376" s="10" t="s">
        <v>2915</v>
      </c>
      <c r="BS376" t="s">
        <v>813</v>
      </c>
    </row>
    <row r="377" spans="18:71" x14ac:dyDescent="0.25">
      <c r="R377" t="s">
        <v>2916</v>
      </c>
      <c r="BI377" t="s">
        <v>2917</v>
      </c>
      <c r="BN377" s="10" t="s">
        <v>2918</v>
      </c>
      <c r="BS377" t="s">
        <v>813</v>
      </c>
    </row>
    <row r="378" spans="18:71" x14ac:dyDescent="0.25">
      <c r="R378" t="s">
        <v>2919</v>
      </c>
      <c r="BI378" t="s">
        <v>2920</v>
      </c>
      <c r="BN378" s="10" t="s">
        <v>2921</v>
      </c>
      <c r="BS378" t="s">
        <v>813</v>
      </c>
    </row>
    <row r="379" spans="18:71" x14ac:dyDescent="0.25">
      <c r="R379" t="s">
        <v>2922</v>
      </c>
      <c r="BI379" t="s">
        <v>2923</v>
      </c>
      <c r="BN379" s="10" t="s">
        <v>2924</v>
      </c>
      <c r="BS379" t="s">
        <v>813</v>
      </c>
    </row>
    <row r="380" spans="18:71" x14ac:dyDescent="0.25">
      <c r="R380" t="s">
        <v>2925</v>
      </c>
      <c r="BI380" t="s">
        <v>2926</v>
      </c>
      <c r="BN380" s="10" t="s">
        <v>2927</v>
      </c>
      <c r="BS380" t="s">
        <v>813</v>
      </c>
    </row>
    <row r="381" spans="18:71" x14ac:dyDescent="0.25">
      <c r="R381" t="s">
        <v>2928</v>
      </c>
      <c r="BI381" t="s">
        <v>2929</v>
      </c>
      <c r="BN381" s="10" t="s">
        <v>2930</v>
      </c>
      <c r="BS381" t="s">
        <v>813</v>
      </c>
    </row>
    <row r="382" spans="18:71" x14ac:dyDescent="0.25">
      <c r="R382" t="s">
        <v>2931</v>
      </c>
      <c r="BI382" t="s">
        <v>2932</v>
      </c>
      <c r="BN382" s="10" t="s">
        <v>2933</v>
      </c>
      <c r="BS382" t="s">
        <v>813</v>
      </c>
    </row>
    <row r="383" spans="18:71" x14ac:dyDescent="0.25">
      <c r="R383" t="s">
        <v>2934</v>
      </c>
      <c r="BI383" t="s">
        <v>2935</v>
      </c>
      <c r="BN383" s="10" t="s">
        <v>2936</v>
      </c>
      <c r="BS383" t="s">
        <v>813</v>
      </c>
    </row>
    <row r="384" spans="18:71" x14ac:dyDescent="0.25">
      <c r="R384" t="s">
        <v>2937</v>
      </c>
      <c r="BI384" t="s">
        <v>2938</v>
      </c>
      <c r="BN384" s="10" t="s">
        <v>2939</v>
      </c>
      <c r="BS384" t="s">
        <v>813</v>
      </c>
    </row>
    <row r="385" spans="18:71" x14ac:dyDescent="0.25">
      <c r="R385" t="s">
        <v>2940</v>
      </c>
      <c r="BI385" t="s">
        <v>2941</v>
      </c>
      <c r="BN385" s="10" t="s">
        <v>2942</v>
      </c>
      <c r="BS385" t="s">
        <v>813</v>
      </c>
    </row>
    <row r="386" spans="18:71" x14ac:dyDescent="0.25">
      <c r="R386" t="s">
        <v>2943</v>
      </c>
      <c r="BI386" t="s">
        <v>2944</v>
      </c>
      <c r="BN386" s="10" t="s">
        <v>2945</v>
      </c>
      <c r="BS386" t="s">
        <v>813</v>
      </c>
    </row>
    <row r="387" spans="18:71" x14ac:dyDescent="0.25">
      <c r="R387" t="s">
        <v>2946</v>
      </c>
      <c r="BI387" t="s">
        <v>2947</v>
      </c>
      <c r="BN387" s="10" t="s">
        <v>2948</v>
      </c>
      <c r="BS387" t="s">
        <v>813</v>
      </c>
    </row>
    <row r="388" spans="18:71" x14ac:dyDescent="0.25">
      <c r="R388" t="s">
        <v>2949</v>
      </c>
      <c r="BI388" t="s">
        <v>2950</v>
      </c>
      <c r="BN388" s="10" t="s">
        <v>2951</v>
      </c>
      <c r="BS388" t="s">
        <v>813</v>
      </c>
    </row>
    <row r="389" spans="18:71" x14ac:dyDescent="0.25">
      <c r="R389" t="s">
        <v>2952</v>
      </c>
      <c r="BI389" t="s">
        <v>2953</v>
      </c>
      <c r="BN389" s="10" t="s">
        <v>2954</v>
      </c>
      <c r="BS389" t="s">
        <v>813</v>
      </c>
    </row>
    <row r="390" spans="18:71" x14ac:dyDescent="0.25">
      <c r="R390" t="s">
        <v>2955</v>
      </c>
      <c r="BI390" t="s">
        <v>2956</v>
      </c>
      <c r="BN390" s="10" t="s">
        <v>2957</v>
      </c>
      <c r="BS390" t="s">
        <v>813</v>
      </c>
    </row>
    <row r="391" spans="18:71" x14ac:dyDescent="0.25">
      <c r="R391" t="s">
        <v>2958</v>
      </c>
      <c r="BI391" t="s">
        <v>2959</v>
      </c>
      <c r="BN391" s="10" t="s">
        <v>2960</v>
      </c>
      <c r="BS391" t="s">
        <v>813</v>
      </c>
    </row>
    <row r="392" spans="18:71" x14ac:dyDescent="0.25">
      <c r="R392" t="s">
        <v>2961</v>
      </c>
      <c r="BI392" t="s">
        <v>2962</v>
      </c>
      <c r="BN392" s="10" t="s">
        <v>2963</v>
      </c>
      <c r="BS392" t="s">
        <v>813</v>
      </c>
    </row>
    <row r="393" spans="18:71" x14ac:dyDescent="0.25">
      <c r="R393" t="s">
        <v>2964</v>
      </c>
      <c r="BI393" t="s">
        <v>2965</v>
      </c>
      <c r="BN393" s="10" t="s">
        <v>2966</v>
      </c>
      <c r="BS393" t="s">
        <v>813</v>
      </c>
    </row>
    <row r="394" spans="18:71" x14ac:dyDescent="0.25">
      <c r="R394" t="s">
        <v>2967</v>
      </c>
      <c r="BI394" t="s">
        <v>2968</v>
      </c>
      <c r="BN394" s="10" t="s">
        <v>2969</v>
      </c>
      <c r="BS394" t="s">
        <v>813</v>
      </c>
    </row>
    <row r="395" spans="18:71" x14ac:dyDescent="0.25">
      <c r="R395" t="s">
        <v>2970</v>
      </c>
      <c r="BI395" t="s">
        <v>2971</v>
      </c>
      <c r="BN395" s="10" t="s">
        <v>2972</v>
      </c>
      <c r="BS395" t="s">
        <v>813</v>
      </c>
    </row>
    <row r="396" spans="18:71" x14ac:dyDescent="0.25">
      <c r="R396" t="s">
        <v>2973</v>
      </c>
      <c r="BI396" t="s">
        <v>2974</v>
      </c>
      <c r="BN396" s="10" t="s">
        <v>2975</v>
      </c>
      <c r="BS396" t="s">
        <v>813</v>
      </c>
    </row>
    <row r="397" spans="18:71" x14ac:dyDescent="0.25">
      <c r="R397" t="s">
        <v>2976</v>
      </c>
      <c r="BI397" t="s">
        <v>2977</v>
      </c>
      <c r="BN397" s="10" t="s">
        <v>2978</v>
      </c>
      <c r="BS397" t="s">
        <v>813</v>
      </c>
    </row>
    <row r="398" spans="18:71" x14ac:dyDescent="0.25">
      <c r="R398" t="s">
        <v>2979</v>
      </c>
      <c r="BI398" t="s">
        <v>2980</v>
      </c>
      <c r="BN398" s="10" t="s">
        <v>2981</v>
      </c>
      <c r="BS398" t="s">
        <v>813</v>
      </c>
    </row>
    <row r="399" spans="18:71" x14ac:dyDescent="0.25">
      <c r="R399" t="s">
        <v>2982</v>
      </c>
      <c r="BI399" t="s">
        <v>2983</v>
      </c>
      <c r="BN399" s="10" t="s">
        <v>2984</v>
      </c>
      <c r="BS399" t="s">
        <v>813</v>
      </c>
    </row>
    <row r="400" spans="18:71" x14ac:dyDescent="0.25">
      <c r="R400" t="s">
        <v>2985</v>
      </c>
      <c r="BI400" t="s">
        <v>2986</v>
      </c>
      <c r="BN400" s="10" t="s">
        <v>2987</v>
      </c>
      <c r="BS400" t="s">
        <v>813</v>
      </c>
    </row>
    <row r="401" spans="18:71" x14ac:dyDescent="0.25">
      <c r="R401" t="s">
        <v>2988</v>
      </c>
      <c r="BI401" t="s">
        <v>2989</v>
      </c>
      <c r="BN401" s="10" t="s">
        <v>2990</v>
      </c>
      <c r="BS401" t="s">
        <v>813</v>
      </c>
    </row>
    <row r="402" spans="18:71" x14ac:dyDescent="0.25">
      <c r="R402" t="s">
        <v>2991</v>
      </c>
      <c r="BI402" t="s">
        <v>2992</v>
      </c>
      <c r="BN402" s="10" t="s">
        <v>2993</v>
      </c>
      <c r="BS402" t="s">
        <v>813</v>
      </c>
    </row>
    <row r="403" spans="18:71" x14ac:dyDescent="0.25">
      <c r="R403" t="s">
        <v>2994</v>
      </c>
      <c r="BI403" t="s">
        <v>2995</v>
      </c>
      <c r="BN403" s="10" t="s">
        <v>2996</v>
      </c>
      <c r="BS403" t="s">
        <v>813</v>
      </c>
    </row>
    <row r="404" spans="18:71" x14ac:dyDescent="0.25">
      <c r="R404" t="s">
        <v>2997</v>
      </c>
      <c r="BI404" t="s">
        <v>2998</v>
      </c>
      <c r="BN404" s="10" t="s">
        <v>2999</v>
      </c>
      <c r="BS404" t="s">
        <v>813</v>
      </c>
    </row>
    <row r="405" spans="18:71" x14ac:dyDescent="0.25">
      <c r="R405" t="s">
        <v>3000</v>
      </c>
      <c r="BI405" t="s">
        <v>3001</v>
      </c>
      <c r="BN405" s="10" t="s">
        <v>3002</v>
      </c>
      <c r="BS405" t="s">
        <v>813</v>
      </c>
    </row>
    <row r="406" spans="18:71" x14ac:dyDescent="0.25">
      <c r="R406" t="s">
        <v>3003</v>
      </c>
      <c r="BI406" t="s">
        <v>3004</v>
      </c>
      <c r="BN406" s="10" t="s">
        <v>3005</v>
      </c>
      <c r="BS406" t="s">
        <v>813</v>
      </c>
    </row>
    <row r="407" spans="18:71" x14ac:dyDescent="0.25">
      <c r="R407" t="s">
        <v>3006</v>
      </c>
      <c r="BI407" t="s">
        <v>3007</v>
      </c>
      <c r="BN407" s="10" t="s">
        <v>3008</v>
      </c>
      <c r="BS407" t="s">
        <v>813</v>
      </c>
    </row>
    <row r="408" spans="18:71" x14ac:dyDescent="0.25">
      <c r="R408" t="s">
        <v>3009</v>
      </c>
      <c r="BI408" t="s">
        <v>3010</v>
      </c>
      <c r="BN408" s="10" t="s">
        <v>3011</v>
      </c>
      <c r="BS408" t="s">
        <v>813</v>
      </c>
    </row>
    <row r="409" spans="18:71" x14ac:dyDescent="0.25">
      <c r="R409" t="s">
        <v>3012</v>
      </c>
      <c r="BI409" t="s">
        <v>3013</v>
      </c>
      <c r="BN409" s="10" t="s">
        <v>3014</v>
      </c>
      <c r="BS409" t="s">
        <v>813</v>
      </c>
    </row>
    <row r="410" spans="18:71" x14ac:dyDescent="0.25">
      <c r="R410" t="s">
        <v>3015</v>
      </c>
      <c r="BI410" t="s">
        <v>3016</v>
      </c>
      <c r="BN410" s="10" t="s">
        <v>3017</v>
      </c>
      <c r="BS410" t="s">
        <v>813</v>
      </c>
    </row>
    <row r="411" spans="18:71" x14ac:dyDescent="0.25">
      <c r="R411" t="s">
        <v>3018</v>
      </c>
      <c r="BI411" t="s">
        <v>3019</v>
      </c>
      <c r="BN411" s="10" t="s">
        <v>3020</v>
      </c>
      <c r="BS411" t="s">
        <v>813</v>
      </c>
    </row>
    <row r="412" spans="18:71" x14ac:dyDescent="0.25">
      <c r="R412" t="s">
        <v>3021</v>
      </c>
      <c r="BI412" t="s">
        <v>3022</v>
      </c>
      <c r="BN412" s="10" t="s">
        <v>3023</v>
      </c>
      <c r="BS412" t="s">
        <v>813</v>
      </c>
    </row>
    <row r="413" spans="18:71" x14ac:dyDescent="0.25">
      <c r="R413" t="s">
        <v>3024</v>
      </c>
      <c r="BI413" t="s">
        <v>3025</v>
      </c>
      <c r="BN413" s="10" t="s">
        <v>3026</v>
      </c>
      <c r="BS413" t="s">
        <v>813</v>
      </c>
    </row>
    <row r="414" spans="18:71" x14ac:dyDescent="0.25">
      <c r="R414" t="s">
        <v>3027</v>
      </c>
      <c r="BI414" t="s">
        <v>3028</v>
      </c>
      <c r="BN414" s="10" t="s">
        <v>3029</v>
      </c>
      <c r="BS414" t="s">
        <v>813</v>
      </c>
    </row>
    <row r="415" spans="18:71" x14ac:dyDescent="0.25">
      <c r="R415" t="s">
        <v>3030</v>
      </c>
      <c r="BI415" t="s">
        <v>3031</v>
      </c>
      <c r="BN415" s="10" t="s">
        <v>3032</v>
      </c>
      <c r="BS415" t="s">
        <v>813</v>
      </c>
    </row>
    <row r="416" spans="18:71" x14ac:dyDescent="0.25">
      <c r="R416" t="s">
        <v>3033</v>
      </c>
      <c r="BI416" t="s">
        <v>3034</v>
      </c>
      <c r="BN416" s="10" t="s">
        <v>3035</v>
      </c>
      <c r="BS416" t="s">
        <v>813</v>
      </c>
    </row>
    <row r="417" spans="18:71" x14ac:dyDescent="0.25">
      <c r="R417" t="s">
        <v>3036</v>
      </c>
      <c r="BI417" t="s">
        <v>3037</v>
      </c>
      <c r="BN417" s="10" t="s">
        <v>3038</v>
      </c>
      <c r="BS417" t="s">
        <v>813</v>
      </c>
    </row>
    <row r="418" spans="18:71" x14ac:dyDescent="0.25">
      <c r="R418" t="s">
        <v>3039</v>
      </c>
      <c r="BI418" t="s">
        <v>3040</v>
      </c>
      <c r="BN418" s="10" t="s">
        <v>3041</v>
      </c>
      <c r="BS418" t="s">
        <v>813</v>
      </c>
    </row>
    <row r="419" spans="18:71" x14ac:dyDescent="0.25">
      <c r="R419" t="s">
        <v>3042</v>
      </c>
      <c r="BI419" t="s">
        <v>3043</v>
      </c>
      <c r="BN419" s="10" t="s">
        <v>3044</v>
      </c>
      <c r="BS419" t="s">
        <v>813</v>
      </c>
    </row>
    <row r="420" spans="18:71" x14ac:dyDescent="0.25">
      <c r="R420" t="s">
        <v>3045</v>
      </c>
      <c r="BI420" t="s">
        <v>3046</v>
      </c>
      <c r="BN420" s="10" t="s">
        <v>3047</v>
      </c>
      <c r="BS420" t="s">
        <v>813</v>
      </c>
    </row>
    <row r="421" spans="18:71" x14ac:dyDescent="0.25">
      <c r="R421" t="s">
        <v>3048</v>
      </c>
      <c r="BI421" t="s">
        <v>3049</v>
      </c>
      <c r="BN421" s="10" t="s">
        <v>3050</v>
      </c>
      <c r="BS421" t="s">
        <v>813</v>
      </c>
    </row>
    <row r="422" spans="18:71" x14ac:dyDescent="0.25">
      <c r="R422" t="s">
        <v>3051</v>
      </c>
      <c r="BI422" t="s">
        <v>3052</v>
      </c>
      <c r="BN422" s="10" t="s">
        <v>3053</v>
      </c>
      <c r="BS422" t="s">
        <v>813</v>
      </c>
    </row>
    <row r="423" spans="18:71" x14ac:dyDescent="0.25">
      <c r="R423" t="s">
        <v>3054</v>
      </c>
      <c r="BI423" t="s">
        <v>3055</v>
      </c>
      <c r="BN423" s="10" t="s">
        <v>3056</v>
      </c>
      <c r="BS423" t="s">
        <v>813</v>
      </c>
    </row>
    <row r="424" spans="18:71" x14ac:dyDescent="0.25">
      <c r="R424" t="s">
        <v>3057</v>
      </c>
      <c r="BI424" t="s">
        <v>3058</v>
      </c>
      <c r="BN424" s="10" t="s">
        <v>3059</v>
      </c>
      <c r="BS424" t="s">
        <v>813</v>
      </c>
    </row>
    <row r="425" spans="18:71" x14ac:dyDescent="0.25">
      <c r="R425" t="s">
        <v>3060</v>
      </c>
      <c r="BI425" t="s">
        <v>3061</v>
      </c>
      <c r="BN425" s="10" t="s">
        <v>3062</v>
      </c>
      <c r="BS425" t="s">
        <v>813</v>
      </c>
    </row>
    <row r="426" spans="18:71" x14ac:dyDescent="0.25">
      <c r="R426" t="s">
        <v>3063</v>
      </c>
      <c r="BI426" t="s">
        <v>3064</v>
      </c>
      <c r="BN426" s="10" t="s">
        <v>3065</v>
      </c>
      <c r="BS426" t="s">
        <v>813</v>
      </c>
    </row>
    <row r="427" spans="18:71" x14ac:dyDescent="0.25">
      <c r="R427" t="s">
        <v>3066</v>
      </c>
      <c r="BI427" t="s">
        <v>3067</v>
      </c>
      <c r="BN427" s="10" t="s">
        <v>3068</v>
      </c>
      <c r="BS427" t="s">
        <v>813</v>
      </c>
    </row>
    <row r="428" spans="18:71" x14ac:dyDescent="0.25">
      <c r="R428" t="s">
        <v>3069</v>
      </c>
      <c r="BI428" t="s">
        <v>3070</v>
      </c>
      <c r="BN428" s="10" t="s">
        <v>3071</v>
      </c>
      <c r="BS428" t="s">
        <v>813</v>
      </c>
    </row>
    <row r="429" spans="18:71" x14ac:dyDescent="0.25">
      <c r="R429" t="s">
        <v>3072</v>
      </c>
      <c r="BI429" t="s">
        <v>3073</v>
      </c>
      <c r="BN429" s="10" t="s">
        <v>3074</v>
      </c>
      <c r="BS429" t="s">
        <v>813</v>
      </c>
    </row>
    <row r="430" spans="18:71" x14ac:dyDescent="0.25">
      <c r="R430" t="s">
        <v>3075</v>
      </c>
      <c r="BI430" t="s">
        <v>3076</v>
      </c>
      <c r="BN430" s="10" t="s">
        <v>3077</v>
      </c>
      <c r="BS430" t="s">
        <v>813</v>
      </c>
    </row>
    <row r="431" spans="18:71" x14ac:dyDescent="0.25">
      <c r="R431" t="s">
        <v>3078</v>
      </c>
      <c r="BI431" t="s">
        <v>3079</v>
      </c>
      <c r="BN431" s="10" t="s">
        <v>3080</v>
      </c>
      <c r="BS431" t="s">
        <v>813</v>
      </c>
    </row>
    <row r="432" spans="18:71" x14ac:dyDescent="0.25">
      <c r="R432" t="s">
        <v>3081</v>
      </c>
      <c r="BI432" t="s">
        <v>3082</v>
      </c>
      <c r="BN432" s="10" t="s">
        <v>3083</v>
      </c>
      <c r="BS432" t="s">
        <v>813</v>
      </c>
    </row>
    <row r="433" spans="18:71" x14ac:dyDescent="0.25">
      <c r="R433" t="s">
        <v>3084</v>
      </c>
      <c r="BI433" t="s">
        <v>3085</v>
      </c>
      <c r="BN433" s="10" t="s">
        <v>3086</v>
      </c>
      <c r="BS433" t="s">
        <v>813</v>
      </c>
    </row>
    <row r="434" spans="18:71" x14ac:dyDescent="0.25">
      <c r="R434" t="s">
        <v>3087</v>
      </c>
      <c r="BI434" t="s">
        <v>3088</v>
      </c>
      <c r="BN434" s="10" t="s">
        <v>3089</v>
      </c>
      <c r="BS434" t="s">
        <v>813</v>
      </c>
    </row>
    <row r="435" spans="18:71" x14ac:dyDescent="0.25">
      <c r="R435" t="s">
        <v>3090</v>
      </c>
      <c r="BI435" t="s">
        <v>3091</v>
      </c>
      <c r="BN435" s="10" t="s">
        <v>3092</v>
      </c>
      <c r="BS435" t="s">
        <v>813</v>
      </c>
    </row>
    <row r="436" spans="18:71" x14ac:dyDescent="0.25">
      <c r="R436" t="s">
        <v>3093</v>
      </c>
      <c r="BI436" t="s">
        <v>3094</v>
      </c>
      <c r="BN436" s="10" t="s">
        <v>3095</v>
      </c>
      <c r="BS436" t="s">
        <v>813</v>
      </c>
    </row>
    <row r="437" spans="18:71" x14ac:dyDescent="0.25">
      <c r="R437" t="s">
        <v>3096</v>
      </c>
      <c r="BI437" t="s">
        <v>3097</v>
      </c>
      <c r="BN437" s="10" t="s">
        <v>3098</v>
      </c>
      <c r="BS437" t="s">
        <v>813</v>
      </c>
    </row>
    <row r="438" spans="18:71" x14ac:dyDescent="0.25">
      <c r="R438" t="s">
        <v>3099</v>
      </c>
      <c r="BI438" t="s">
        <v>3100</v>
      </c>
      <c r="BN438" s="10" t="s">
        <v>3101</v>
      </c>
      <c r="BS438" t="s">
        <v>813</v>
      </c>
    </row>
    <row r="439" spans="18:71" x14ac:dyDescent="0.25">
      <c r="R439" t="s">
        <v>3102</v>
      </c>
      <c r="BI439" t="s">
        <v>3103</v>
      </c>
      <c r="BN439" s="10" t="s">
        <v>3104</v>
      </c>
      <c r="BS439" t="s">
        <v>813</v>
      </c>
    </row>
    <row r="440" spans="18:71" x14ac:dyDescent="0.25">
      <c r="R440" t="s">
        <v>3105</v>
      </c>
      <c r="BI440" t="s">
        <v>3106</v>
      </c>
      <c r="BN440" s="10" t="s">
        <v>3107</v>
      </c>
      <c r="BS440" t="s">
        <v>813</v>
      </c>
    </row>
    <row r="441" spans="18:71" x14ac:dyDescent="0.25">
      <c r="R441" t="s">
        <v>3108</v>
      </c>
      <c r="BI441" t="s">
        <v>3109</v>
      </c>
      <c r="BN441" s="10" t="s">
        <v>3110</v>
      </c>
      <c r="BS441" t="s">
        <v>813</v>
      </c>
    </row>
    <row r="442" spans="18:71" x14ac:dyDescent="0.25">
      <c r="R442" t="s">
        <v>3111</v>
      </c>
      <c r="BI442" t="s">
        <v>3112</v>
      </c>
      <c r="BN442" s="10" t="s">
        <v>3113</v>
      </c>
      <c r="BS442" t="s">
        <v>813</v>
      </c>
    </row>
    <row r="443" spans="18:71" x14ac:dyDescent="0.25">
      <c r="R443" t="s">
        <v>3114</v>
      </c>
      <c r="BI443" t="s">
        <v>3115</v>
      </c>
      <c r="BN443" s="10" t="s">
        <v>3116</v>
      </c>
      <c r="BS443" t="s">
        <v>813</v>
      </c>
    </row>
    <row r="444" spans="18:71" x14ac:dyDescent="0.25">
      <c r="R444" t="s">
        <v>3117</v>
      </c>
      <c r="BI444" t="s">
        <v>3118</v>
      </c>
      <c r="BN444" s="10" t="s">
        <v>3119</v>
      </c>
      <c r="BS444" t="s">
        <v>813</v>
      </c>
    </row>
    <row r="445" spans="18:71" x14ac:dyDescent="0.25">
      <c r="R445" t="s">
        <v>3120</v>
      </c>
      <c r="BI445" t="s">
        <v>3121</v>
      </c>
      <c r="BN445" s="10" t="s">
        <v>3122</v>
      </c>
      <c r="BS445" t="s">
        <v>813</v>
      </c>
    </row>
    <row r="446" spans="18:71" x14ac:dyDescent="0.25">
      <c r="R446" t="s">
        <v>3123</v>
      </c>
      <c r="BI446" t="s">
        <v>3124</v>
      </c>
      <c r="BN446" s="10" t="s">
        <v>3125</v>
      </c>
      <c r="BS446" t="s">
        <v>813</v>
      </c>
    </row>
    <row r="447" spans="18:71" x14ac:dyDescent="0.25">
      <c r="R447" t="s">
        <v>3126</v>
      </c>
      <c r="BI447" t="s">
        <v>3127</v>
      </c>
      <c r="BN447" s="10" t="s">
        <v>3128</v>
      </c>
      <c r="BS447" t="s">
        <v>813</v>
      </c>
    </row>
    <row r="448" spans="18:71" x14ac:dyDescent="0.25">
      <c r="R448" t="s">
        <v>3129</v>
      </c>
      <c r="BI448" t="s">
        <v>3130</v>
      </c>
      <c r="BN448" s="10" t="s">
        <v>3131</v>
      </c>
      <c r="BS448" t="s">
        <v>813</v>
      </c>
    </row>
    <row r="449" spans="18:71" x14ac:dyDescent="0.25">
      <c r="R449" t="s">
        <v>3132</v>
      </c>
      <c r="BI449" t="s">
        <v>3133</v>
      </c>
      <c r="BN449" s="10" t="s">
        <v>3134</v>
      </c>
      <c r="BS449" t="s">
        <v>813</v>
      </c>
    </row>
    <row r="450" spans="18:71" x14ac:dyDescent="0.25">
      <c r="R450" t="s">
        <v>3135</v>
      </c>
      <c r="BI450" t="s">
        <v>3136</v>
      </c>
      <c r="BN450" s="10" t="s">
        <v>3137</v>
      </c>
      <c r="BS450" t="s">
        <v>813</v>
      </c>
    </row>
    <row r="451" spans="18:71" x14ac:dyDescent="0.25">
      <c r="R451" t="s">
        <v>3138</v>
      </c>
      <c r="BI451" t="s">
        <v>3139</v>
      </c>
      <c r="BN451" s="10" t="s">
        <v>3140</v>
      </c>
      <c r="BS451" t="s">
        <v>813</v>
      </c>
    </row>
    <row r="452" spans="18:71" x14ac:dyDescent="0.25">
      <c r="R452" t="s">
        <v>3141</v>
      </c>
      <c r="BI452" t="s">
        <v>3142</v>
      </c>
      <c r="BN452" s="10" t="s">
        <v>3143</v>
      </c>
      <c r="BS452" t="s">
        <v>813</v>
      </c>
    </row>
    <row r="453" spans="18:71" x14ac:dyDescent="0.25">
      <c r="R453" t="s">
        <v>3144</v>
      </c>
      <c r="BI453" t="s">
        <v>3145</v>
      </c>
      <c r="BN453" s="10" t="s">
        <v>3146</v>
      </c>
      <c r="BS453" t="s">
        <v>813</v>
      </c>
    </row>
    <row r="454" spans="18:71" x14ac:dyDescent="0.25">
      <c r="R454" t="s">
        <v>3147</v>
      </c>
      <c r="BI454" t="s">
        <v>3148</v>
      </c>
      <c r="BN454" s="10" t="s">
        <v>3149</v>
      </c>
      <c r="BS454" t="s">
        <v>813</v>
      </c>
    </row>
    <row r="455" spans="18:71" x14ac:dyDescent="0.25">
      <c r="R455" t="s">
        <v>3150</v>
      </c>
      <c r="BI455" t="s">
        <v>3151</v>
      </c>
      <c r="BN455" s="10" t="s">
        <v>3152</v>
      </c>
      <c r="BS455" t="s">
        <v>813</v>
      </c>
    </row>
    <row r="456" spans="18:71" x14ac:dyDescent="0.25">
      <c r="R456" t="s">
        <v>3153</v>
      </c>
      <c r="BI456" t="s">
        <v>3154</v>
      </c>
      <c r="BN456" s="10" t="s">
        <v>3155</v>
      </c>
      <c r="BS456" t="s">
        <v>813</v>
      </c>
    </row>
    <row r="457" spans="18:71" x14ac:dyDescent="0.25">
      <c r="R457" t="s">
        <v>3156</v>
      </c>
      <c r="BI457" t="s">
        <v>3157</v>
      </c>
      <c r="BN457" s="10" t="s">
        <v>3158</v>
      </c>
      <c r="BS457" t="s">
        <v>813</v>
      </c>
    </row>
    <row r="458" spans="18:71" x14ac:dyDescent="0.25">
      <c r="R458" t="s">
        <v>3159</v>
      </c>
      <c r="BI458" t="s">
        <v>3160</v>
      </c>
      <c r="BN458" s="10" t="s">
        <v>3161</v>
      </c>
      <c r="BS458" t="s">
        <v>813</v>
      </c>
    </row>
    <row r="459" spans="18:71" x14ac:dyDescent="0.25">
      <c r="R459" t="s">
        <v>3162</v>
      </c>
      <c r="BI459" t="s">
        <v>3163</v>
      </c>
      <c r="BN459" s="10" t="s">
        <v>3164</v>
      </c>
      <c r="BS459" t="s">
        <v>813</v>
      </c>
    </row>
    <row r="460" spans="18:71" x14ac:dyDescent="0.25">
      <c r="R460" t="s">
        <v>3165</v>
      </c>
      <c r="BI460" t="s">
        <v>3166</v>
      </c>
      <c r="BN460" s="10" t="s">
        <v>3167</v>
      </c>
      <c r="BS460" t="s">
        <v>813</v>
      </c>
    </row>
    <row r="461" spans="18:71" x14ac:dyDescent="0.25">
      <c r="R461" t="s">
        <v>3168</v>
      </c>
      <c r="BI461" t="s">
        <v>3169</v>
      </c>
      <c r="BN461" s="10" t="s">
        <v>3170</v>
      </c>
      <c r="BS461" t="s">
        <v>813</v>
      </c>
    </row>
    <row r="462" spans="18:71" x14ac:dyDescent="0.25">
      <c r="R462" t="s">
        <v>3171</v>
      </c>
      <c r="BI462" t="s">
        <v>3172</v>
      </c>
      <c r="BN462" s="10" t="s">
        <v>3173</v>
      </c>
      <c r="BS462" t="s">
        <v>813</v>
      </c>
    </row>
    <row r="463" spans="18:71" x14ac:dyDescent="0.25">
      <c r="R463" t="s">
        <v>3174</v>
      </c>
      <c r="BI463" t="s">
        <v>3175</v>
      </c>
      <c r="BN463" s="10" t="s">
        <v>3176</v>
      </c>
      <c r="BS463" t="s">
        <v>813</v>
      </c>
    </row>
    <row r="464" spans="18:71" x14ac:dyDescent="0.25">
      <c r="R464" t="s">
        <v>3177</v>
      </c>
      <c r="BI464" t="s">
        <v>3178</v>
      </c>
      <c r="BN464" s="10" t="s">
        <v>3179</v>
      </c>
      <c r="BS464" t="s">
        <v>813</v>
      </c>
    </row>
    <row r="465" spans="18:71" x14ac:dyDescent="0.25">
      <c r="R465" t="s">
        <v>3180</v>
      </c>
      <c r="BI465" t="s">
        <v>3181</v>
      </c>
      <c r="BN465" s="10" t="s">
        <v>3182</v>
      </c>
      <c r="BS465" t="s">
        <v>813</v>
      </c>
    </row>
    <row r="466" spans="18:71" x14ac:dyDescent="0.25">
      <c r="R466" t="s">
        <v>3183</v>
      </c>
      <c r="BI466" t="s">
        <v>3184</v>
      </c>
      <c r="BN466" s="10" t="s">
        <v>3185</v>
      </c>
      <c r="BS466" t="s">
        <v>813</v>
      </c>
    </row>
    <row r="467" spans="18:71" x14ac:dyDescent="0.25">
      <c r="R467" t="s">
        <v>3186</v>
      </c>
      <c r="BI467" t="s">
        <v>3187</v>
      </c>
      <c r="BN467" s="10" t="s">
        <v>3188</v>
      </c>
      <c r="BS467" t="s">
        <v>813</v>
      </c>
    </row>
    <row r="468" spans="18:71" x14ac:dyDescent="0.25">
      <c r="R468" t="s">
        <v>3189</v>
      </c>
      <c r="BI468" t="s">
        <v>3190</v>
      </c>
      <c r="BN468" s="10" t="s">
        <v>3191</v>
      </c>
      <c r="BS468" t="s">
        <v>813</v>
      </c>
    </row>
    <row r="469" spans="18:71" x14ac:dyDescent="0.25">
      <c r="R469" t="s">
        <v>3192</v>
      </c>
      <c r="BI469" t="s">
        <v>3193</v>
      </c>
      <c r="BN469" s="10" t="s">
        <v>3194</v>
      </c>
      <c r="BS469" t="s">
        <v>813</v>
      </c>
    </row>
    <row r="470" spans="18:71" x14ac:dyDescent="0.25">
      <c r="R470" t="s">
        <v>3195</v>
      </c>
      <c r="BI470" t="s">
        <v>3196</v>
      </c>
      <c r="BN470" s="10" t="s">
        <v>3197</v>
      </c>
      <c r="BS470" t="s">
        <v>813</v>
      </c>
    </row>
    <row r="471" spans="18:71" x14ac:dyDescent="0.25">
      <c r="R471" t="s">
        <v>3198</v>
      </c>
      <c r="BI471" t="s">
        <v>3199</v>
      </c>
      <c r="BN471" s="10" t="s">
        <v>3200</v>
      </c>
      <c r="BS471" t="s">
        <v>813</v>
      </c>
    </row>
    <row r="472" spans="18:71" x14ac:dyDescent="0.25">
      <c r="R472" t="s">
        <v>3201</v>
      </c>
      <c r="BI472" t="s">
        <v>3202</v>
      </c>
      <c r="BN472" s="10" t="s">
        <v>3203</v>
      </c>
      <c r="BS472" t="s">
        <v>813</v>
      </c>
    </row>
    <row r="473" spans="18:71" x14ac:dyDescent="0.25">
      <c r="R473" t="s">
        <v>3204</v>
      </c>
      <c r="BI473" t="s">
        <v>3205</v>
      </c>
      <c r="BN473" s="10" t="s">
        <v>3206</v>
      </c>
      <c r="BS473" t="s">
        <v>813</v>
      </c>
    </row>
    <row r="474" spans="18:71" x14ac:dyDescent="0.25">
      <c r="R474" t="s">
        <v>3207</v>
      </c>
      <c r="BI474" t="s">
        <v>3208</v>
      </c>
      <c r="BN474" s="10" t="s">
        <v>3209</v>
      </c>
      <c r="BS474" t="s">
        <v>813</v>
      </c>
    </row>
    <row r="475" spans="18:71" x14ac:dyDescent="0.25">
      <c r="R475" t="s">
        <v>3210</v>
      </c>
      <c r="BI475" t="s">
        <v>3211</v>
      </c>
      <c r="BN475" s="10" t="s">
        <v>3212</v>
      </c>
      <c r="BS475" t="s">
        <v>813</v>
      </c>
    </row>
    <row r="476" spans="18:71" x14ac:dyDescent="0.25">
      <c r="R476" t="s">
        <v>3213</v>
      </c>
      <c r="BI476" t="s">
        <v>3214</v>
      </c>
      <c r="BN476" s="10" t="s">
        <v>3215</v>
      </c>
      <c r="BS476" t="s">
        <v>813</v>
      </c>
    </row>
    <row r="477" spans="18:71" x14ac:dyDescent="0.25">
      <c r="R477" t="s">
        <v>3216</v>
      </c>
      <c r="BI477" t="s">
        <v>3217</v>
      </c>
      <c r="BN477" s="10" t="s">
        <v>3218</v>
      </c>
      <c r="BS477" t="s">
        <v>813</v>
      </c>
    </row>
    <row r="478" spans="18:71" x14ac:dyDescent="0.25">
      <c r="R478" t="s">
        <v>3219</v>
      </c>
      <c r="BI478" t="s">
        <v>3220</v>
      </c>
      <c r="BN478" s="10" t="s">
        <v>3221</v>
      </c>
      <c r="BS478" t="s">
        <v>813</v>
      </c>
    </row>
    <row r="479" spans="18:71" x14ac:dyDescent="0.25">
      <c r="R479" t="s">
        <v>3222</v>
      </c>
      <c r="BI479" t="s">
        <v>3223</v>
      </c>
      <c r="BN479" s="10" t="s">
        <v>3224</v>
      </c>
      <c r="BS479" t="s">
        <v>813</v>
      </c>
    </row>
    <row r="480" spans="18:71" x14ac:dyDescent="0.25">
      <c r="R480" t="s">
        <v>3225</v>
      </c>
      <c r="BI480" t="s">
        <v>3226</v>
      </c>
      <c r="BN480" s="10" t="s">
        <v>3227</v>
      </c>
      <c r="BS480" t="s">
        <v>813</v>
      </c>
    </row>
    <row r="481" spans="18:71" x14ac:dyDescent="0.25">
      <c r="R481" t="s">
        <v>3228</v>
      </c>
      <c r="BI481" t="s">
        <v>3229</v>
      </c>
      <c r="BN481" s="10" t="s">
        <v>3230</v>
      </c>
      <c r="BS481" t="s">
        <v>813</v>
      </c>
    </row>
    <row r="482" spans="18:71" x14ac:dyDescent="0.25">
      <c r="R482" t="s">
        <v>3231</v>
      </c>
      <c r="BI482" t="s">
        <v>3232</v>
      </c>
      <c r="BN482" s="10" t="s">
        <v>3233</v>
      </c>
      <c r="BS482" t="s">
        <v>813</v>
      </c>
    </row>
    <row r="483" spans="18:71" x14ac:dyDescent="0.25">
      <c r="R483" t="s">
        <v>3234</v>
      </c>
      <c r="BI483" t="s">
        <v>3235</v>
      </c>
      <c r="BN483" s="10" t="s">
        <v>3236</v>
      </c>
      <c r="BS483" t="s">
        <v>813</v>
      </c>
    </row>
    <row r="484" spans="18:71" x14ac:dyDescent="0.25">
      <c r="R484" t="s">
        <v>3237</v>
      </c>
      <c r="BI484" t="s">
        <v>3238</v>
      </c>
      <c r="BN484" s="10" t="s">
        <v>3239</v>
      </c>
      <c r="BS484" t="s">
        <v>813</v>
      </c>
    </row>
    <row r="485" spans="18:71" x14ac:dyDescent="0.25">
      <c r="R485" t="s">
        <v>3240</v>
      </c>
      <c r="BI485" t="s">
        <v>3241</v>
      </c>
      <c r="BN485" s="10" t="s">
        <v>3242</v>
      </c>
      <c r="BS485" t="s">
        <v>813</v>
      </c>
    </row>
    <row r="486" spans="18:71" x14ac:dyDescent="0.25">
      <c r="R486" t="s">
        <v>3243</v>
      </c>
      <c r="BI486" t="s">
        <v>3244</v>
      </c>
      <c r="BN486" s="10" t="s">
        <v>3245</v>
      </c>
      <c r="BS486" t="s">
        <v>813</v>
      </c>
    </row>
    <row r="487" spans="18:71" x14ac:dyDescent="0.25">
      <c r="R487" t="s">
        <v>3246</v>
      </c>
      <c r="BI487" t="s">
        <v>3247</v>
      </c>
      <c r="BN487" s="10" t="s">
        <v>3248</v>
      </c>
      <c r="BS487" t="s">
        <v>813</v>
      </c>
    </row>
    <row r="488" spans="18:71" x14ac:dyDescent="0.25">
      <c r="R488" t="s">
        <v>3249</v>
      </c>
      <c r="BI488" t="s">
        <v>3250</v>
      </c>
      <c r="BN488" s="10" t="s">
        <v>3251</v>
      </c>
      <c r="BS488" t="s">
        <v>813</v>
      </c>
    </row>
    <row r="489" spans="18:71" x14ac:dyDescent="0.25">
      <c r="R489" t="s">
        <v>3252</v>
      </c>
      <c r="BI489" t="s">
        <v>3253</v>
      </c>
      <c r="BN489" s="10" t="s">
        <v>3254</v>
      </c>
      <c r="BS489" t="s">
        <v>813</v>
      </c>
    </row>
    <row r="490" spans="18:71" x14ac:dyDescent="0.25">
      <c r="R490" t="s">
        <v>3255</v>
      </c>
      <c r="BI490" t="s">
        <v>3256</v>
      </c>
      <c r="BN490" s="10" t="s">
        <v>3257</v>
      </c>
      <c r="BS490" t="s">
        <v>813</v>
      </c>
    </row>
    <row r="491" spans="18:71" x14ac:dyDescent="0.25">
      <c r="R491" t="s">
        <v>3258</v>
      </c>
      <c r="BI491" t="s">
        <v>3259</v>
      </c>
      <c r="BN491" s="10" t="s">
        <v>3260</v>
      </c>
      <c r="BS491" t="s">
        <v>813</v>
      </c>
    </row>
    <row r="492" spans="18:71" x14ac:dyDescent="0.25">
      <c r="R492" t="s">
        <v>3261</v>
      </c>
      <c r="BI492" t="s">
        <v>3262</v>
      </c>
      <c r="BN492" s="10" t="s">
        <v>3263</v>
      </c>
      <c r="BS492" t="s">
        <v>813</v>
      </c>
    </row>
    <row r="493" spans="18:71" x14ac:dyDescent="0.25">
      <c r="R493" t="s">
        <v>3264</v>
      </c>
      <c r="BI493" t="s">
        <v>3265</v>
      </c>
      <c r="BN493" s="10" t="s">
        <v>3266</v>
      </c>
      <c r="BS493" t="s">
        <v>813</v>
      </c>
    </row>
    <row r="494" spans="18:71" x14ac:dyDescent="0.25">
      <c r="R494" t="s">
        <v>3267</v>
      </c>
      <c r="BI494" t="s">
        <v>3268</v>
      </c>
      <c r="BN494" s="10" t="s">
        <v>3269</v>
      </c>
      <c r="BS494" t="s">
        <v>813</v>
      </c>
    </row>
    <row r="495" spans="18:71" x14ac:dyDescent="0.25">
      <c r="R495" t="s">
        <v>3270</v>
      </c>
      <c r="BI495" t="s">
        <v>3271</v>
      </c>
      <c r="BN495" s="10" t="s">
        <v>3272</v>
      </c>
      <c r="BS495" t="s">
        <v>813</v>
      </c>
    </row>
    <row r="496" spans="18:71" x14ac:dyDescent="0.25">
      <c r="R496" t="s">
        <v>3273</v>
      </c>
      <c r="BI496" t="s">
        <v>3274</v>
      </c>
      <c r="BN496" s="10" t="s">
        <v>3275</v>
      </c>
      <c r="BS496" t="s">
        <v>813</v>
      </c>
    </row>
    <row r="497" spans="18:71" x14ac:dyDescent="0.25">
      <c r="R497" t="s">
        <v>3276</v>
      </c>
      <c r="BI497" t="s">
        <v>3277</v>
      </c>
      <c r="BN497" s="10" t="s">
        <v>3278</v>
      </c>
      <c r="BS497" t="s">
        <v>813</v>
      </c>
    </row>
    <row r="498" spans="18:71" x14ac:dyDescent="0.25">
      <c r="R498" t="s">
        <v>3279</v>
      </c>
      <c r="BI498" t="s">
        <v>3280</v>
      </c>
      <c r="BN498" s="10" t="s">
        <v>3281</v>
      </c>
      <c r="BS498" t="s">
        <v>813</v>
      </c>
    </row>
    <row r="499" spans="18:71" x14ac:dyDescent="0.25">
      <c r="R499" t="s">
        <v>3282</v>
      </c>
      <c r="BI499" t="s">
        <v>3283</v>
      </c>
      <c r="BN499" s="10" t="s">
        <v>3284</v>
      </c>
      <c r="BS499" t="s">
        <v>813</v>
      </c>
    </row>
    <row r="500" spans="18:71" x14ac:dyDescent="0.25">
      <c r="R500" t="s">
        <v>3285</v>
      </c>
      <c r="BI500" t="s">
        <v>3286</v>
      </c>
      <c r="BN500" s="10" t="s">
        <v>3287</v>
      </c>
      <c r="BS500" t="s">
        <v>813</v>
      </c>
    </row>
    <row r="501" spans="18:71" x14ac:dyDescent="0.25">
      <c r="R501" t="s">
        <v>3288</v>
      </c>
      <c r="BI501" t="s">
        <v>3289</v>
      </c>
      <c r="BN501" s="10" t="s">
        <v>3290</v>
      </c>
      <c r="BS501" t="s">
        <v>813</v>
      </c>
    </row>
  </sheetData>
  <mergeCells count="2">
    <mergeCell ref="AI1:AK1"/>
    <mergeCell ref="AI2:AK2"/>
  </mergeCell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dimension ref="A1:D132"/>
  <sheetViews>
    <sheetView workbookViewId="0">
      <selection activeCell="C22" sqref="C22"/>
    </sheetView>
  </sheetViews>
  <sheetFormatPr defaultRowHeight="15" x14ac:dyDescent="0.25"/>
  <cols>
    <col min="1" max="1" width="11.28515625" style="14" bestFit="1" customWidth="1"/>
    <col min="2" max="2" width="6.28515625" style="15" bestFit="1" customWidth="1"/>
    <col min="3" max="3" width="47.85546875" bestFit="1" customWidth="1"/>
    <col min="4" max="4" width="18.28515625" bestFit="1" customWidth="1"/>
  </cols>
  <sheetData>
    <row r="1" spans="1:4" s="13" customFormat="1" ht="12.75" x14ac:dyDescent="0.2">
      <c r="A1" s="12" t="s">
        <v>3291</v>
      </c>
      <c r="B1" s="12" t="s">
        <v>3292</v>
      </c>
      <c r="C1" s="12" t="s">
        <v>3293</v>
      </c>
      <c r="D1" s="12" t="s">
        <v>3294</v>
      </c>
    </row>
    <row r="2" spans="1:4" x14ac:dyDescent="0.25">
      <c r="A2" s="14">
        <v>1</v>
      </c>
      <c r="B2" s="15">
        <v>9</v>
      </c>
      <c r="C2" t="s">
        <v>3295</v>
      </c>
    </row>
    <row r="3" spans="1:4" x14ac:dyDescent="0.25">
      <c r="A3" s="14">
        <v>3</v>
      </c>
      <c r="B3" s="15">
        <v>5</v>
      </c>
      <c r="C3" t="s">
        <v>3296</v>
      </c>
    </row>
    <row r="4" spans="1:4" x14ac:dyDescent="0.25">
      <c r="A4" s="14">
        <v>4</v>
      </c>
      <c r="B4" s="15">
        <v>3</v>
      </c>
      <c r="C4" t="s">
        <v>3297</v>
      </c>
    </row>
    <row r="5" spans="1:4" x14ac:dyDescent="0.25">
      <c r="A5" s="14">
        <v>10</v>
      </c>
      <c r="B5" s="15">
        <v>8</v>
      </c>
      <c r="C5" t="s">
        <v>3298</v>
      </c>
    </row>
    <row r="6" spans="1:4" x14ac:dyDescent="0.25">
      <c r="A6" s="14">
        <v>17</v>
      </c>
      <c r="B6" s="15">
        <v>5</v>
      </c>
      <c r="C6" t="s">
        <v>3299</v>
      </c>
    </row>
    <row r="7" spans="1:4" x14ac:dyDescent="0.25">
      <c r="A7" s="14">
        <v>19</v>
      </c>
      <c r="B7" s="15">
        <v>1</v>
      </c>
      <c r="C7" t="s">
        <v>3300</v>
      </c>
    </row>
    <row r="8" spans="1:4" x14ac:dyDescent="0.25">
      <c r="A8" s="14">
        <v>21</v>
      </c>
      <c r="B8" s="15">
        <v>3</v>
      </c>
      <c r="C8" t="s">
        <v>3301</v>
      </c>
    </row>
    <row r="9" spans="1:4" x14ac:dyDescent="0.25">
      <c r="A9" s="14">
        <v>25</v>
      </c>
      <c r="B9" s="15">
        <v>6</v>
      </c>
      <c r="C9" t="s">
        <v>3302</v>
      </c>
    </row>
    <row r="10" spans="1:4" x14ac:dyDescent="0.25">
      <c r="A10" s="14">
        <v>33</v>
      </c>
      <c r="B10" s="15">
        <v>7</v>
      </c>
      <c r="C10" t="s">
        <v>3303</v>
      </c>
    </row>
    <row r="11" spans="1:4" ht="12" customHeight="1" x14ac:dyDescent="0.25">
      <c r="A11" s="14">
        <v>36</v>
      </c>
      <c r="B11" s="15">
        <v>1</v>
      </c>
      <c r="C11" s="16" t="s">
        <v>3304</v>
      </c>
      <c r="D11" t="s">
        <v>3305</v>
      </c>
    </row>
    <row r="12" spans="1:4" x14ac:dyDescent="0.25">
      <c r="A12" s="14">
        <v>37</v>
      </c>
      <c r="B12" s="15" t="s">
        <v>3306</v>
      </c>
      <c r="C12" t="s">
        <v>3307</v>
      </c>
    </row>
    <row r="13" spans="1:4" x14ac:dyDescent="0.25">
      <c r="A13" s="14">
        <v>40</v>
      </c>
      <c r="B13" s="15" t="s">
        <v>3306</v>
      </c>
      <c r="C13" t="s">
        <v>3308</v>
      </c>
    </row>
    <row r="14" spans="1:4" x14ac:dyDescent="0.25">
      <c r="A14" s="14">
        <v>41</v>
      </c>
      <c r="B14" s="15">
        <v>8</v>
      </c>
      <c r="C14" t="s">
        <v>3309</v>
      </c>
    </row>
    <row r="15" spans="1:4" x14ac:dyDescent="0.25">
      <c r="A15" s="14">
        <v>47</v>
      </c>
      <c r="B15" s="15">
        <v>7</v>
      </c>
      <c r="C15" t="s">
        <v>3310</v>
      </c>
    </row>
    <row r="16" spans="1:4" x14ac:dyDescent="0.25">
      <c r="A16" s="14">
        <v>62</v>
      </c>
      <c r="B16" s="15">
        <v>0</v>
      </c>
      <c r="C16" t="s">
        <v>3311</v>
      </c>
    </row>
    <row r="17" spans="1:3" x14ac:dyDescent="0.25">
      <c r="A17" s="14">
        <v>63</v>
      </c>
      <c r="B17" s="15">
        <v>9</v>
      </c>
      <c r="C17" t="s">
        <v>3312</v>
      </c>
    </row>
    <row r="18" spans="1:3" x14ac:dyDescent="0.25">
      <c r="A18" s="14">
        <v>65</v>
      </c>
      <c r="B18" s="15">
        <v>5</v>
      </c>
      <c r="C18" t="s">
        <v>3313</v>
      </c>
    </row>
    <row r="19" spans="1:3" x14ac:dyDescent="0.25">
      <c r="A19" s="14">
        <v>66</v>
      </c>
      <c r="B19" s="15">
        <v>3</v>
      </c>
      <c r="C19" t="s">
        <v>3314</v>
      </c>
    </row>
    <row r="20" spans="1:3" x14ac:dyDescent="0.25">
      <c r="A20" s="14">
        <v>69</v>
      </c>
      <c r="B20" s="15">
        <v>8</v>
      </c>
      <c r="C20" t="s">
        <v>3315</v>
      </c>
    </row>
    <row r="21" spans="1:3" x14ac:dyDescent="0.25">
      <c r="A21" s="14">
        <v>70</v>
      </c>
      <c r="B21" s="15">
        <v>1</v>
      </c>
      <c r="C21" t="s">
        <v>3316</v>
      </c>
    </row>
    <row r="22" spans="1:3" x14ac:dyDescent="0.25">
      <c r="A22" s="14">
        <v>74</v>
      </c>
      <c r="B22" s="15">
        <v>4</v>
      </c>
      <c r="C22" t="s">
        <v>3317</v>
      </c>
    </row>
    <row r="23" spans="1:3" x14ac:dyDescent="0.25">
      <c r="A23" s="14">
        <v>75</v>
      </c>
      <c r="B23" s="15">
        <v>2</v>
      </c>
      <c r="C23" t="s">
        <v>3318</v>
      </c>
    </row>
    <row r="24" spans="1:3" x14ac:dyDescent="0.25">
      <c r="A24" s="14">
        <v>76</v>
      </c>
      <c r="B24" s="15">
        <v>0</v>
      </c>
      <c r="C24" t="s">
        <v>3319</v>
      </c>
    </row>
    <row r="25" spans="1:3" x14ac:dyDescent="0.25">
      <c r="A25" s="14">
        <v>77</v>
      </c>
      <c r="B25" s="15">
        <v>9</v>
      </c>
      <c r="C25" t="s">
        <v>3320</v>
      </c>
    </row>
    <row r="26" spans="1:3" x14ac:dyDescent="0.25">
      <c r="A26" s="14">
        <v>78</v>
      </c>
      <c r="B26" s="15">
        <v>7</v>
      </c>
      <c r="C26" t="s">
        <v>3321</v>
      </c>
    </row>
    <row r="27" spans="1:3" x14ac:dyDescent="0.25">
      <c r="A27" s="14">
        <v>79</v>
      </c>
      <c r="B27" s="15">
        <v>5</v>
      </c>
      <c r="C27" t="s">
        <v>3322</v>
      </c>
    </row>
    <row r="28" spans="1:3" x14ac:dyDescent="0.25">
      <c r="A28" s="14">
        <v>81</v>
      </c>
      <c r="B28" s="15">
        <v>7</v>
      </c>
      <c r="C28" t="s">
        <v>3323</v>
      </c>
    </row>
    <row r="29" spans="1:3" x14ac:dyDescent="0.25">
      <c r="A29" s="14">
        <v>82</v>
      </c>
      <c r="B29" s="15">
        <v>5</v>
      </c>
      <c r="C29" t="s">
        <v>3324</v>
      </c>
    </row>
    <row r="30" spans="1:3" x14ac:dyDescent="0.25">
      <c r="A30" s="14">
        <v>83</v>
      </c>
      <c r="B30" s="15">
        <v>3</v>
      </c>
      <c r="C30" t="s">
        <v>3325</v>
      </c>
    </row>
    <row r="31" spans="1:3" x14ac:dyDescent="0.25">
      <c r="A31" s="14">
        <v>84</v>
      </c>
      <c r="B31" s="15">
        <v>1</v>
      </c>
      <c r="C31" t="s">
        <v>3326</v>
      </c>
    </row>
    <row r="32" spans="1:3" x14ac:dyDescent="0.25">
      <c r="A32" s="14">
        <v>85</v>
      </c>
      <c r="B32" s="15" t="s">
        <v>3306</v>
      </c>
      <c r="C32" t="s">
        <v>3327</v>
      </c>
    </row>
    <row r="33" spans="1:3" x14ac:dyDescent="0.25">
      <c r="A33" s="14">
        <v>86</v>
      </c>
      <c r="B33" s="15">
        <v>8</v>
      </c>
      <c r="C33" t="s">
        <v>3328</v>
      </c>
    </row>
    <row r="34" spans="1:3" x14ac:dyDescent="0.25">
      <c r="A34" s="14">
        <v>87</v>
      </c>
      <c r="B34" s="15">
        <v>6</v>
      </c>
      <c r="C34" t="s">
        <v>3329</v>
      </c>
    </row>
    <row r="35" spans="1:3" x14ac:dyDescent="0.25">
      <c r="A35" s="14">
        <v>88</v>
      </c>
      <c r="B35" s="15">
        <v>4</v>
      </c>
      <c r="C35" t="s">
        <v>3330</v>
      </c>
    </row>
    <row r="36" spans="1:3" x14ac:dyDescent="0.25">
      <c r="A36" s="14">
        <v>89</v>
      </c>
      <c r="B36" s="15">
        <v>2</v>
      </c>
      <c r="C36" t="s">
        <v>3331</v>
      </c>
    </row>
    <row r="37" spans="1:3" x14ac:dyDescent="0.25">
      <c r="A37" s="14">
        <v>90</v>
      </c>
      <c r="B37" s="15">
        <v>6</v>
      </c>
      <c r="C37" t="s">
        <v>3332</v>
      </c>
    </row>
    <row r="38" spans="1:3" x14ac:dyDescent="0.25">
      <c r="A38" s="14">
        <v>91</v>
      </c>
      <c r="B38" s="15">
        <v>4</v>
      </c>
      <c r="C38" t="s">
        <v>3333</v>
      </c>
    </row>
    <row r="39" spans="1:3" x14ac:dyDescent="0.25">
      <c r="A39" s="14">
        <v>92</v>
      </c>
      <c r="B39" s="15">
        <v>2</v>
      </c>
      <c r="C39" t="s">
        <v>3334</v>
      </c>
    </row>
    <row r="40" spans="1:3" x14ac:dyDescent="0.25">
      <c r="A40" s="14">
        <v>94</v>
      </c>
      <c r="B40" s="15">
        <v>9</v>
      </c>
      <c r="C40" t="s">
        <v>3335</v>
      </c>
    </row>
    <row r="41" spans="1:3" x14ac:dyDescent="0.25">
      <c r="A41" s="14">
        <v>96</v>
      </c>
      <c r="B41" s="15">
        <v>5</v>
      </c>
      <c r="C41" t="s">
        <v>3336</v>
      </c>
    </row>
    <row r="42" spans="1:3" x14ac:dyDescent="0.25">
      <c r="A42" s="14">
        <v>97</v>
      </c>
      <c r="B42" s="15">
        <v>3</v>
      </c>
      <c r="C42" t="s">
        <v>3337</v>
      </c>
    </row>
    <row r="43" spans="1:3" x14ac:dyDescent="0.25">
      <c r="A43" s="14">
        <v>98</v>
      </c>
      <c r="B43" s="15">
        <v>1</v>
      </c>
      <c r="C43" t="s">
        <v>3338</v>
      </c>
    </row>
    <row r="44" spans="1:3" x14ac:dyDescent="0.25">
      <c r="A44" s="14">
        <v>99</v>
      </c>
      <c r="B44" s="15" t="s">
        <v>3306</v>
      </c>
      <c r="C44" t="s">
        <v>3339</v>
      </c>
    </row>
    <row r="45" spans="1:3" x14ac:dyDescent="0.25">
      <c r="A45" s="14">
        <v>104</v>
      </c>
      <c r="B45" s="15" t="s">
        <v>3306</v>
      </c>
      <c r="C45" t="s">
        <v>3340</v>
      </c>
    </row>
    <row r="46" spans="1:3" x14ac:dyDescent="0.25">
      <c r="A46" s="14">
        <v>107</v>
      </c>
      <c r="B46" s="15">
        <v>4</v>
      </c>
      <c r="C46" t="s">
        <v>3341</v>
      </c>
    </row>
    <row r="47" spans="1:3" x14ac:dyDescent="0.25">
      <c r="A47" s="14">
        <v>112</v>
      </c>
      <c r="B47" s="15">
        <v>0</v>
      </c>
      <c r="C47" t="s">
        <v>3342</v>
      </c>
    </row>
    <row r="48" spans="1:3" x14ac:dyDescent="0.25">
      <c r="A48" s="14">
        <v>114</v>
      </c>
      <c r="B48" s="15">
        <v>7</v>
      </c>
      <c r="C48" t="s">
        <v>3343</v>
      </c>
    </row>
    <row r="49" spans="1:4" x14ac:dyDescent="0.25">
      <c r="A49" s="14">
        <v>119</v>
      </c>
      <c r="B49" s="15">
        <v>8</v>
      </c>
      <c r="C49" t="s">
        <v>3344</v>
      </c>
    </row>
    <row r="50" spans="1:4" x14ac:dyDescent="0.25">
      <c r="A50" s="14">
        <v>120</v>
      </c>
      <c r="B50" s="15">
        <v>1</v>
      </c>
      <c r="C50" t="s">
        <v>3345</v>
      </c>
    </row>
    <row r="51" spans="1:4" x14ac:dyDescent="0.25">
      <c r="A51" s="14">
        <v>121</v>
      </c>
      <c r="B51" s="15" t="s">
        <v>3306</v>
      </c>
      <c r="C51" t="s">
        <v>3346</v>
      </c>
    </row>
    <row r="52" spans="1:4" x14ac:dyDescent="0.25">
      <c r="A52" s="14">
        <v>122</v>
      </c>
      <c r="B52" s="15">
        <v>8</v>
      </c>
      <c r="C52" t="s">
        <v>3347</v>
      </c>
    </row>
    <row r="53" spans="1:4" x14ac:dyDescent="0.25">
      <c r="A53" s="14">
        <v>124</v>
      </c>
      <c r="B53" s="15">
        <v>4</v>
      </c>
      <c r="C53" t="s">
        <v>3348</v>
      </c>
    </row>
    <row r="54" spans="1:4" x14ac:dyDescent="0.25">
      <c r="A54" s="14">
        <v>125</v>
      </c>
      <c r="B54" s="15">
        <v>2</v>
      </c>
      <c r="C54" t="s">
        <v>3349</v>
      </c>
    </row>
    <row r="55" spans="1:4" x14ac:dyDescent="0.25">
      <c r="A55" s="14">
        <v>184</v>
      </c>
      <c r="B55" s="15">
        <v>8</v>
      </c>
      <c r="C55" s="16" t="s">
        <v>3350</v>
      </c>
      <c r="D55" t="s">
        <v>3351</v>
      </c>
    </row>
    <row r="56" spans="1:4" x14ac:dyDescent="0.25">
      <c r="A56" s="14">
        <v>204</v>
      </c>
      <c r="B56" s="15">
        <v>6</v>
      </c>
      <c r="C56" t="s">
        <v>3352</v>
      </c>
    </row>
    <row r="57" spans="1:4" x14ac:dyDescent="0.25">
      <c r="A57" s="14">
        <v>208</v>
      </c>
      <c r="B57" s="15">
        <v>9</v>
      </c>
      <c r="C57" t="s">
        <v>3353</v>
      </c>
    </row>
    <row r="58" spans="1:4" x14ac:dyDescent="0.25">
      <c r="A58" s="14">
        <v>212</v>
      </c>
      <c r="B58" s="15">
        <v>7</v>
      </c>
      <c r="C58" t="s">
        <v>3354</v>
      </c>
    </row>
    <row r="59" spans="1:4" x14ac:dyDescent="0.25">
      <c r="A59" s="14">
        <v>213</v>
      </c>
      <c r="B59" s="15">
        <v>5</v>
      </c>
      <c r="C59" t="s">
        <v>3355</v>
      </c>
    </row>
    <row r="60" spans="1:4" x14ac:dyDescent="0.25">
      <c r="A60" s="14">
        <v>214</v>
      </c>
      <c r="B60" s="15">
        <v>3</v>
      </c>
      <c r="C60" t="s">
        <v>3356</v>
      </c>
    </row>
    <row r="61" spans="1:4" x14ac:dyDescent="0.25">
      <c r="A61" s="14">
        <v>217</v>
      </c>
      <c r="B61" s="15">
        <v>8</v>
      </c>
      <c r="C61" t="s">
        <v>3357</v>
      </c>
    </row>
    <row r="62" spans="1:4" x14ac:dyDescent="0.25">
      <c r="A62" s="14">
        <v>218</v>
      </c>
      <c r="B62" s="15">
        <v>6</v>
      </c>
      <c r="C62" t="s">
        <v>3358</v>
      </c>
    </row>
    <row r="63" spans="1:4" x14ac:dyDescent="0.25">
      <c r="A63" s="14">
        <v>222</v>
      </c>
      <c r="B63" s="15">
        <v>4</v>
      </c>
      <c r="C63" t="s">
        <v>3359</v>
      </c>
    </row>
    <row r="64" spans="1:4" x14ac:dyDescent="0.25">
      <c r="A64" s="14">
        <v>224</v>
      </c>
      <c r="B64" s="15">
        <v>0</v>
      </c>
      <c r="C64" t="s">
        <v>3360</v>
      </c>
    </row>
    <row r="65" spans="1:3" x14ac:dyDescent="0.25">
      <c r="A65" s="14">
        <v>233</v>
      </c>
      <c r="B65" s="15" t="s">
        <v>3306</v>
      </c>
      <c r="C65" t="s">
        <v>3361</v>
      </c>
    </row>
    <row r="66" spans="1:3" x14ac:dyDescent="0.25">
      <c r="A66" s="14">
        <v>237</v>
      </c>
      <c r="B66" s="15">
        <v>2</v>
      </c>
      <c r="C66" t="s">
        <v>3362</v>
      </c>
    </row>
    <row r="67" spans="1:3" x14ac:dyDescent="0.25">
      <c r="A67" s="14">
        <v>241</v>
      </c>
      <c r="B67" s="15">
        <v>0</v>
      </c>
      <c r="C67" t="s">
        <v>3363</v>
      </c>
    </row>
    <row r="68" spans="1:3" x14ac:dyDescent="0.25">
      <c r="A68" s="14">
        <v>243</v>
      </c>
      <c r="B68" s="15">
        <v>7</v>
      </c>
      <c r="C68" t="s">
        <v>3364</v>
      </c>
    </row>
    <row r="69" spans="1:3" x14ac:dyDescent="0.25">
      <c r="A69" s="14">
        <v>246</v>
      </c>
      <c r="B69" s="15">
        <v>1</v>
      </c>
      <c r="C69" t="s">
        <v>3365</v>
      </c>
    </row>
    <row r="70" spans="1:3" x14ac:dyDescent="0.25">
      <c r="A70" s="14">
        <v>248</v>
      </c>
      <c r="B70" s="15">
        <v>8</v>
      </c>
      <c r="C70" t="s">
        <v>3366</v>
      </c>
    </row>
    <row r="71" spans="1:3" x14ac:dyDescent="0.25">
      <c r="A71" s="14">
        <v>249</v>
      </c>
      <c r="B71" s="15">
        <v>6</v>
      </c>
      <c r="C71" t="s">
        <v>3367</v>
      </c>
    </row>
    <row r="72" spans="1:3" x14ac:dyDescent="0.25">
      <c r="A72" s="14">
        <v>250</v>
      </c>
      <c r="B72" s="15" t="s">
        <v>3306</v>
      </c>
      <c r="C72" t="s">
        <v>3368</v>
      </c>
    </row>
    <row r="73" spans="1:3" x14ac:dyDescent="0.25">
      <c r="A73" s="14">
        <v>254</v>
      </c>
      <c r="B73" s="15">
        <v>2</v>
      </c>
      <c r="C73" t="s">
        <v>3369</v>
      </c>
    </row>
    <row r="74" spans="1:3" x14ac:dyDescent="0.25">
      <c r="A74" s="14">
        <v>263</v>
      </c>
      <c r="B74" s="15">
        <v>1</v>
      </c>
      <c r="C74" t="s">
        <v>3370</v>
      </c>
    </row>
    <row r="75" spans="1:3" x14ac:dyDescent="0.25">
      <c r="A75" s="14">
        <v>265</v>
      </c>
      <c r="B75" s="15">
        <v>8</v>
      </c>
      <c r="C75" t="s">
        <v>3371</v>
      </c>
    </row>
    <row r="76" spans="1:3" x14ac:dyDescent="0.25">
      <c r="A76" s="14">
        <v>266</v>
      </c>
      <c r="B76" s="15">
        <v>6</v>
      </c>
      <c r="C76" t="s">
        <v>3372</v>
      </c>
    </row>
    <row r="77" spans="1:3" x14ac:dyDescent="0.25">
      <c r="A77" s="14">
        <v>300</v>
      </c>
      <c r="B77" s="15" t="s">
        <v>3306</v>
      </c>
      <c r="C77" t="s">
        <v>3373</v>
      </c>
    </row>
    <row r="78" spans="1:3" x14ac:dyDescent="0.25">
      <c r="A78" s="14">
        <v>318</v>
      </c>
      <c r="B78" s="15">
        <v>2</v>
      </c>
      <c r="C78" t="s">
        <v>3374</v>
      </c>
    </row>
    <row r="79" spans="1:3" x14ac:dyDescent="0.25">
      <c r="A79" s="14">
        <v>320</v>
      </c>
      <c r="B79" s="15">
        <v>4</v>
      </c>
      <c r="C79" t="s">
        <v>3375</v>
      </c>
    </row>
    <row r="80" spans="1:3" x14ac:dyDescent="0.25">
      <c r="A80" s="14">
        <v>341</v>
      </c>
      <c r="B80" s="15">
        <v>7</v>
      </c>
      <c r="C80" t="s">
        <v>3376</v>
      </c>
    </row>
    <row r="81" spans="1:3" x14ac:dyDescent="0.25">
      <c r="A81" s="14">
        <v>366</v>
      </c>
      <c r="B81" s="15">
        <v>2</v>
      </c>
      <c r="C81" t="s">
        <v>3377</v>
      </c>
    </row>
    <row r="82" spans="1:3" x14ac:dyDescent="0.25">
      <c r="A82" s="14">
        <v>370</v>
      </c>
      <c r="B82" s="15">
        <v>0</v>
      </c>
      <c r="C82" t="s">
        <v>3378</v>
      </c>
    </row>
    <row r="83" spans="1:3" x14ac:dyDescent="0.25">
      <c r="A83" s="14">
        <v>376</v>
      </c>
      <c r="B83" s="15" t="s">
        <v>3306</v>
      </c>
      <c r="C83" t="s">
        <v>3379</v>
      </c>
    </row>
    <row r="84" spans="1:3" x14ac:dyDescent="0.25">
      <c r="A84" s="14">
        <v>389</v>
      </c>
      <c r="B84" s="15">
        <v>1</v>
      </c>
      <c r="C84" t="s">
        <v>3380</v>
      </c>
    </row>
    <row r="85" spans="1:3" x14ac:dyDescent="0.25">
      <c r="A85" s="14">
        <v>394</v>
      </c>
      <c r="B85" s="15">
        <v>8</v>
      </c>
      <c r="C85" t="s">
        <v>3381</v>
      </c>
    </row>
    <row r="86" spans="1:3" x14ac:dyDescent="0.25">
      <c r="A86" s="14">
        <v>399</v>
      </c>
      <c r="B86" s="15">
        <v>9</v>
      </c>
      <c r="C86" t="s">
        <v>3382</v>
      </c>
    </row>
    <row r="87" spans="1:3" x14ac:dyDescent="0.25">
      <c r="A87" s="14">
        <v>412</v>
      </c>
      <c r="B87" s="15" t="s">
        <v>3306</v>
      </c>
      <c r="C87" t="s">
        <v>3383</v>
      </c>
    </row>
    <row r="88" spans="1:3" x14ac:dyDescent="0.25">
      <c r="A88" s="14">
        <v>334.65170998631999</v>
      </c>
      <c r="B88" s="15">
        <v>2.7333333333333298</v>
      </c>
      <c r="C88" t="s">
        <v>3295</v>
      </c>
    </row>
    <row r="89" spans="1:3" x14ac:dyDescent="0.25">
      <c r="A89" s="14">
        <v>338.87679607528599</v>
      </c>
      <c r="B89" s="15">
        <v>2.3575757575757601</v>
      </c>
      <c r="C89" t="s">
        <v>3296</v>
      </c>
    </row>
    <row r="90" spans="1:3" x14ac:dyDescent="0.25">
      <c r="A90" s="14">
        <v>343.10188216425303</v>
      </c>
      <c r="B90" s="15">
        <v>1.9818181818181799</v>
      </c>
      <c r="C90" t="s">
        <v>3297</v>
      </c>
    </row>
    <row r="91" spans="1:3" x14ac:dyDescent="0.25">
      <c r="A91" s="14">
        <v>347.32696825321898</v>
      </c>
      <c r="B91" s="15">
        <v>1.60606060606061</v>
      </c>
      <c r="C91" t="s">
        <v>3298</v>
      </c>
    </row>
    <row r="92" spans="1:3" x14ac:dyDescent="0.25">
      <c r="A92" s="14">
        <v>351.55205434218601</v>
      </c>
      <c r="B92" s="15">
        <v>1.23030303030303</v>
      </c>
      <c r="C92" t="s">
        <v>3299</v>
      </c>
    </row>
    <row r="93" spans="1:3" x14ac:dyDescent="0.25">
      <c r="A93" s="14">
        <v>355.77714043115202</v>
      </c>
      <c r="B93" s="15">
        <v>0.85454545454544995</v>
      </c>
      <c r="C93" t="s">
        <v>3300</v>
      </c>
    </row>
    <row r="94" spans="1:3" x14ac:dyDescent="0.25">
      <c r="A94" s="14">
        <v>360.00222652011797</v>
      </c>
      <c r="B94" s="15">
        <v>0.47878787878787998</v>
      </c>
      <c r="C94" t="s">
        <v>3301</v>
      </c>
    </row>
    <row r="95" spans="1:3" x14ac:dyDescent="0.25">
      <c r="A95" s="14">
        <v>364.227312609085</v>
      </c>
      <c r="B95" s="15">
        <v>0.1030303030303</v>
      </c>
      <c r="C95" t="s">
        <v>3302</v>
      </c>
    </row>
    <row r="96" spans="1:3" x14ac:dyDescent="0.25">
      <c r="A96" s="14">
        <v>368.45239869805101</v>
      </c>
      <c r="B96" s="15">
        <v>-0.27272727272726999</v>
      </c>
      <c r="C96" t="s">
        <v>3303</v>
      </c>
    </row>
    <row r="97" spans="1:3" x14ac:dyDescent="0.25">
      <c r="A97" s="14">
        <v>372.67748478701799</v>
      </c>
      <c r="B97" s="15">
        <v>-0.648484848484849</v>
      </c>
      <c r="C97" s="16" t="s">
        <v>3304</v>
      </c>
    </row>
    <row r="98" spans="1:3" x14ac:dyDescent="0.25">
      <c r="A98" s="14">
        <v>376.902570875984</v>
      </c>
      <c r="B98" s="15" t="s">
        <v>3306</v>
      </c>
      <c r="C98" t="s">
        <v>3307</v>
      </c>
    </row>
    <row r="99" spans="1:3" x14ac:dyDescent="0.25">
      <c r="A99" s="14">
        <v>381.12765696495097</v>
      </c>
      <c r="B99" s="15" t="s">
        <v>3306</v>
      </c>
      <c r="C99" t="s">
        <v>3308</v>
      </c>
    </row>
    <row r="100" spans="1:3" x14ac:dyDescent="0.25">
      <c r="A100" s="14">
        <v>385.35274305391698</v>
      </c>
      <c r="B100" s="15">
        <v>3.6078431372548998</v>
      </c>
      <c r="C100" t="s">
        <v>3309</v>
      </c>
    </row>
    <row r="101" spans="1:3" x14ac:dyDescent="0.25">
      <c r="A101" s="14">
        <v>389.57782914288401</v>
      </c>
      <c r="B101" s="15">
        <v>3.4963880288957698</v>
      </c>
      <c r="C101" t="s">
        <v>3310</v>
      </c>
    </row>
    <row r="102" spans="1:3" x14ac:dyDescent="0.25">
      <c r="A102" s="14">
        <v>393.80291523185002</v>
      </c>
      <c r="B102" s="15">
        <v>3.3849329205366399</v>
      </c>
      <c r="C102" t="s">
        <v>3311</v>
      </c>
    </row>
    <row r="103" spans="1:3" x14ac:dyDescent="0.25">
      <c r="A103" s="14">
        <v>398.028001320817</v>
      </c>
      <c r="B103" s="15">
        <v>3.2734778121775001</v>
      </c>
      <c r="C103" t="s">
        <v>3312</v>
      </c>
    </row>
    <row r="104" spans="1:3" x14ac:dyDescent="0.25">
      <c r="A104" s="14">
        <v>402.25308740978301</v>
      </c>
      <c r="B104" s="15">
        <v>3.1620227038183701</v>
      </c>
      <c r="C104" t="s">
        <v>3313</v>
      </c>
    </row>
    <row r="105" spans="1:3" x14ac:dyDescent="0.25">
      <c r="A105" s="14">
        <v>406.47817349874998</v>
      </c>
      <c r="B105" s="15">
        <v>3.0505675954592402</v>
      </c>
      <c r="C105" t="s">
        <v>3314</v>
      </c>
    </row>
    <row r="106" spans="1:3" x14ac:dyDescent="0.25">
      <c r="A106" s="14">
        <v>410.70325958771599</v>
      </c>
      <c r="B106" s="15">
        <v>2.9391124871001102</v>
      </c>
      <c r="C106" t="s">
        <v>3315</v>
      </c>
    </row>
    <row r="107" spans="1:3" x14ac:dyDescent="0.25">
      <c r="A107" s="14">
        <v>414.92834567668302</v>
      </c>
      <c r="B107" s="15">
        <v>2.82765737874097</v>
      </c>
      <c r="C107" t="s">
        <v>3316</v>
      </c>
    </row>
    <row r="108" spans="1:3" x14ac:dyDescent="0.25">
      <c r="A108" s="14">
        <v>419.15343176564897</v>
      </c>
      <c r="B108" s="15">
        <v>2.71620227038184</v>
      </c>
      <c r="C108" t="s">
        <v>3317</v>
      </c>
    </row>
    <row r="109" spans="1:3" x14ac:dyDescent="0.25">
      <c r="A109" s="14">
        <v>423.37851785461498</v>
      </c>
      <c r="B109" s="15">
        <v>2.6047471620227101</v>
      </c>
      <c r="C109" t="s">
        <v>3318</v>
      </c>
    </row>
    <row r="110" spans="1:3" x14ac:dyDescent="0.25">
      <c r="A110" s="14">
        <v>427.60360394358202</v>
      </c>
      <c r="B110" s="15">
        <v>2.4932920536635699</v>
      </c>
      <c r="C110" t="s">
        <v>3319</v>
      </c>
    </row>
    <row r="111" spans="1:3" x14ac:dyDescent="0.25">
      <c r="A111" s="14">
        <v>431.82869003254802</v>
      </c>
      <c r="B111" s="15">
        <v>2.3818369453044399</v>
      </c>
      <c r="C111" t="s">
        <v>3320</v>
      </c>
    </row>
    <row r="112" spans="1:3" x14ac:dyDescent="0.25">
      <c r="A112" s="14">
        <v>436.053776121515</v>
      </c>
      <c r="B112" s="15">
        <v>2.2703818369453099</v>
      </c>
      <c r="C112" t="s">
        <v>3321</v>
      </c>
    </row>
    <row r="113" spans="1:3" x14ac:dyDescent="0.25">
      <c r="A113" s="14">
        <v>440.27886221048101</v>
      </c>
      <c r="B113" s="15">
        <v>2.1589267285861702</v>
      </c>
      <c r="C113" t="s">
        <v>3322</v>
      </c>
    </row>
    <row r="114" spans="1:3" x14ac:dyDescent="0.25">
      <c r="A114" s="14">
        <v>444.50394829944798</v>
      </c>
      <c r="B114" s="15">
        <v>2.0474716202270402</v>
      </c>
      <c r="C114" t="s">
        <v>3323</v>
      </c>
    </row>
    <row r="115" spans="1:3" x14ac:dyDescent="0.25">
      <c r="A115" s="14">
        <v>448.72903438841502</v>
      </c>
      <c r="B115" s="15">
        <v>2.7333333333333298</v>
      </c>
      <c r="C115" t="s">
        <v>3295</v>
      </c>
    </row>
    <row r="116" spans="1:3" x14ac:dyDescent="0.25">
      <c r="A116" s="14">
        <v>452.95412047738103</v>
      </c>
      <c r="B116" s="15">
        <v>2.3575757575757601</v>
      </c>
      <c r="C116" t="s">
        <v>3296</v>
      </c>
    </row>
    <row r="117" spans="1:3" x14ac:dyDescent="0.25">
      <c r="A117" s="14">
        <v>457.179206566348</v>
      </c>
      <c r="B117" s="15">
        <v>1.9818181818181799</v>
      </c>
      <c r="C117" t="s">
        <v>3297</v>
      </c>
    </row>
    <row r="118" spans="1:3" x14ac:dyDescent="0.25">
      <c r="A118" s="14">
        <v>461.40429265531401</v>
      </c>
      <c r="B118" s="15">
        <v>1.60606060606061</v>
      </c>
      <c r="C118" t="s">
        <v>3298</v>
      </c>
    </row>
    <row r="119" spans="1:3" x14ac:dyDescent="0.25">
      <c r="A119" s="14">
        <v>465.62937874428098</v>
      </c>
      <c r="B119" s="15">
        <v>1.23030303030303</v>
      </c>
      <c r="C119" t="s">
        <v>3299</v>
      </c>
    </row>
    <row r="120" spans="1:3" x14ac:dyDescent="0.25">
      <c r="A120" s="14">
        <v>469.85446483324699</v>
      </c>
      <c r="B120" s="15">
        <v>0.85454545454544995</v>
      </c>
      <c r="C120" t="s">
        <v>3300</v>
      </c>
    </row>
    <row r="121" spans="1:3" x14ac:dyDescent="0.25">
      <c r="A121" s="14">
        <v>474.079550922213</v>
      </c>
      <c r="B121" s="15">
        <v>0.47878787878787998</v>
      </c>
      <c r="C121" t="s">
        <v>3301</v>
      </c>
    </row>
    <row r="122" spans="1:3" x14ac:dyDescent="0.25">
      <c r="A122" s="14">
        <v>478.30463701117998</v>
      </c>
      <c r="B122" s="15">
        <v>0.1030303030303</v>
      </c>
      <c r="C122" t="s">
        <v>3302</v>
      </c>
    </row>
    <row r="123" spans="1:3" x14ac:dyDescent="0.25">
      <c r="A123" s="14">
        <v>482.52972310014599</v>
      </c>
      <c r="B123" s="15">
        <v>-0.27272727272726999</v>
      </c>
      <c r="C123" t="s">
        <v>3303</v>
      </c>
    </row>
    <row r="124" spans="1:3" x14ac:dyDescent="0.25">
      <c r="A124" s="14">
        <v>486.75480918911302</v>
      </c>
      <c r="B124" s="15">
        <v>-0.648484848484849</v>
      </c>
      <c r="C124" s="16" t="s">
        <v>3304</v>
      </c>
    </row>
    <row r="125" spans="1:3" x14ac:dyDescent="0.25">
      <c r="A125" s="14">
        <v>490.97989527807903</v>
      </c>
      <c r="B125" s="15" t="s">
        <v>3306</v>
      </c>
      <c r="C125" t="s">
        <v>3307</v>
      </c>
    </row>
    <row r="126" spans="1:3" x14ac:dyDescent="0.25">
      <c r="A126" s="14">
        <v>495.204981367046</v>
      </c>
      <c r="B126" s="15" t="s">
        <v>3306</v>
      </c>
      <c r="C126" t="s">
        <v>3308</v>
      </c>
    </row>
    <row r="127" spans="1:3" x14ac:dyDescent="0.25">
      <c r="A127" s="14">
        <v>499.43006745601201</v>
      </c>
      <c r="B127" s="15">
        <v>3.6078431372548998</v>
      </c>
      <c r="C127" t="s">
        <v>3309</v>
      </c>
    </row>
    <row r="128" spans="1:3" x14ac:dyDescent="0.25">
      <c r="A128" s="14">
        <v>503.65515354497899</v>
      </c>
      <c r="B128" s="15">
        <v>3.4963880288957698</v>
      </c>
      <c r="C128" t="s">
        <v>3310</v>
      </c>
    </row>
    <row r="129" spans="1:3" x14ac:dyDescent="0.25">
      <c r="A129" s="14">
        <v>507.880239633945</v>
      </c>
      <c r="B129" s="15">
        <v>3.3849329205366399</v>
      </c>
      <c r="C129" t="s">
        <v>3311</v>
      </c>
    </row>
    <row r="130" spans="1:3" x14ac:dyDescent="0.25">
      <c r="A130" s="14">
        <v>512.10532572291197</v>
      </c>
      <c r="B130" s="15">
        <v>3.2734778121775001</v>
      </c>
      <c r="C130" t="s">
        <v>3312</v>
      </c>
    </row>
    <row r="131" spans="1:3" x14ac:dyDescent="0.25">
      <c r="A131" s="14">
        <v>516.33041181187798</v>
      </c>
      <c r="B131" s="15">
        <v>3.1620227038183701</v>
      </c>
      <c r="C131" t="s">
        <v>3313</v>
      </c>
    </row>
    <row r="132" spans="1:3" x14ac:dyDescent="0.25">
      <c r="A132" s="17"/>
      <c r="B132" s="18"/>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10</vt:i4>
      </vt:variant>
    </vt:vector>
  </HeadingPairs>
  <TitlesOfParts>
    <vt:vector size="16" baseType="lpstr">
      <vt:lpstr>Menu Principal</vt:lpstr>
      <vt:lpstr>Cadastro Fornecedor</vt:lpstr>
      <vt:lpstr>Cadastro Fornecedor Parte 2</vt:lpstr>
      <vt:lpstr>Fornecedor PF</vt:lpstr>
      <vt:lpstr>Lista de Dados</vt:lpstr>
      <vt:lpstr>ListaBancoDígito</vt:lpstr>
      <vt:lpstr>dados02</vt:lpstr>
      <vt:lpstr>dados1</vt:lpstr>
      <vt:lpstr>dados33</vt:lpstr>
      <vt:lpstr>flor16</vt:lpstr>
      <vt:lpstr>flor17</vt:lpstr>
      <vt:lpstr>flor18</vt:lpstr>
      <vt:lpstr>flor4</vt:lpstr>
      <vt:lpstr>flor5</vt:lpstr>
      <vt:lpstr>flor6</vt:lpstr>
      <vt:lpstr>flor7</vt:lpstr>
    </vt:vector>
  </TitlesOfParts>
  <Company>Diagnosticos da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Shirley Midori</dc:creator>
  <cp:lastModifiedBy>Daniel</cp:lastModifiedBy>
  <dcterms:created xsi:type="dcterms:W3CDTF">2016-11-22T18:16:20Z</dcterms:created>
  <dcterms:modified xsi:type="dcterms:W3CDTF">2018-12-27T13:18:51Z</dcterms:modified>
</cp:coreProperties>
</file>